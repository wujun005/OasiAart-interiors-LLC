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020"/>
  </bookViews>
  <sheets>
    <sheet name="总览" sheetId="1" r:id="rId1"/>
    <sheet name="前端问题汇总" sheetId="2" r:id="rId2"/>
    <sheet name="后台订单管理" sheetId="3" r:id="rId3"/>
    <sheet name="订单字段与状态" sheetId="4" r:id="rId4"/>
    <sheet name="开发优先级" sheetId="5" r:id="rId5"/>
    <sheet name="效果图文案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<sst xmlns="http://schemas.openxmlformats.org/spreadsheetml/2006/main" count="1306" uniqueCount="791">
  <si>
    <t>HourX 产品问题与修改需求汇总</t>
  </si>
  <si>
    <t>范围：移动端前台（主页、登录、Profile、Logo）＋客服后台订单管理｜版本日期：2026-08-19</t>
  </si>
  <si>
    <t>指标</t>
  </si>
  <si>
    <t>数量</t>
  </si>
  <si>
    <t>使用说明</t>
  </si>
  <si>
    <t>前端问题</t>
  </si>
  <si>
    <t>1. 先处理 P0：影响核心转化、订单履约或数据正确性。
2. 每条需求都有建议方案和验收标准，可直接进入产品评审。
3. “开发优先级”工作表用于排期和负责人跟踪。
4. 前端效果图属于方向稿，正式开发应使用设计系统与矢量 Logo 资产。</t>
  </si>
  <si>
    <t>后台问题</t>
  </si>
  <si>
    <t>P0 总数</t>
  </si>
  <si>
    <t>P1 总数</t>
  </si>
  <si>
    <t>P2 总数</t>
  </si>
  <si>
    <t>合计</t>
  </si>
  <si>
    <t>优先级</t>
  </si>
  <si>
    <t>定义</t>
  </si>
  <si>
    <t>处理建议</t>
  </si>
  <si>
    <t/>
  </si>
  <si>
    <t>P0</t>
  </si>
  <si>
    <t>阻塞核心流程、导致数据错误或严重影响转化</t>
  </si>
  <si>
    <t>当前版本必须完成</t>
  </si>
  <si>
    <t>P1</t>
  </si>
  <si>
    <t>显著影响体验、效率或运营能力</t>
  </si>
  <si>
    <t>P0 后立即排期</t>
  </si>
  <si>
    <t>P2</t>
  </si>
  <si>
    <t>体验增强和长期优化</t>
  </si>
  <si>
    <t>后续迭代</t>
  </si>
  <si>
    <t>前端页面问题与修改意见</t>
  </si>
  <si>
    <t>覆盖：主页、登录页、Profile、Logo 及全局文案一致性</t>
  </si>
  <si>
    <t>编号</t>
  </si>
  <si>
    <t>页面</t>
  </si>
  <si>
    <t>模块</t>
  </si>
  <si>
    <t>用户状态</t>
  </si>
  <si>
    <t>当前问题</t>
  </si>
  <si>
    <t>修改建议</t>
  </si>
  <si>
    <t>验收标准</t>
  </si>
  <si>
    <t>FE-001</t>
  </si>
  <si>
    <t>主页</t>
  </si>
  <si>
    <t>顶部导航</t>
  </si>
  <si>
    <t>未登录</t>
  </si>
  <si>
    <t>Logo 太小，品牌识别度不足</t>
  </si>
  <si>
    <t>将正式矢量 Logo 放大至移动端约 80–100px 宽；使用紧凑横向版</t>
  </si>
  <si>
    <t>导航栏内清晰可辨，非截图还原图，无模糊和变形</t>
  </si>
  <si>
    <t>FE-002</t>
  </si>
  <si>
    <t>“Log In / Sign Up”文字较长且动作重复</t>
  </si>
  <si>
    <t>统一为“Sign in”；注册入口放入登录页</t>
  </si>
  <si>
    <t>顶部仅显示 English 与 Sign in，按钮在窄屏不换行</t>
  </si>
  <si>
    <t>FE-003</t>
  </si>
  <si>
    <t>已登录</t>
  </si>
  <si>
    <t>顶部 Profile 与底部 Profile 重复</t>
  </si>
  <si>
    <t>顶部改为头像/姓名首字母，或完全移除账户入口</t>
  </si>
  <si>
    <t>已登录状态明确，点击头像可进入账户页，底部仍保留 Profile</t>
  </si>
  <si>
    <t>FE-004</t>
  </si>
  <si>
    <t>Hero</t>
  </si>
  <si>
    <t>全部</t>
  </si>
  <si>
    <t>背景图、标题、说明和按钮相互挤压，可读性弱</t>
  </si>
  <si>
    <t>增加深色渐变遮罩，将内容集中为单一左对齐区块</t>
  </si>
  <si>
    <t>标题、说明、信任信息和按钮无重叠，强光下仍清晰</t>
  </si>
  <si>
    <t>FE-005</t>
  </si>
  <si>
    <t>两组首页标题语义重复</t>
  </si>
  <si>
    <t>Hero 只保留“Trusted Home Services in Dubai”</t>
  </si>
  <si>
    <t>首屏仅出现一个核心价值主张</t>
  </si>
  <si>
    <t>FE-006</t>
  </si>
  <si>
    <t>现有说明文案较长且泛化</t>
  </si>
  <si>
    <t>改为“Verified professionals. Transparent pricing. Easy booking.”</t>
  </si>
  <si>
    <t>三项价值在两行内展示完整</t>
  </si>
  <si>
    <t>FE-007</t>
  </si>
  <si>
    <t>Hero CTA</t>
  </si>
  <si>
    <t>Book Now 与 WhatsApp 权重相同，主次不清</t>
  </si>
  <si>
    <t>“Book a service”为蓝色主按钮；“Chat on WhatsApp”为白底次级按钮</t>
  </si>
  <si>
    <t>主按钮视觉权重明显更高，两个按钮均可点击</t>
  </si>
  <si>
    <t>FE-008</t>
  </si>
  <si>
    <t>信任信息</t>
  </si>
  <si>
    <t>缺少入户服务所需的信任信息</t>
  </si>
  <si>
    <t>增加 Verified pros、Service guarantee，可后续加入评分和服务次数</t>
  </si>
  <si>
    <t>Hero 首屏至少展示两项可验证信任信息</t>
  </si>
  <si>
    <t>FE-009</t>
  </si>
  <si>
    <t>服务区</t>
  </si>
  <si>
    <t>五个服务入口挤在一行，文字多次换行，触控区域小</t>
  </si>
  <si>
    <t>改成两列圆角服务卡片；显示图标和短名称</t>
  </si>
  <si>
    <t>每张卡片点击区域不小于约 44px，标题不拥挤</t>
  </si>
  <si>
    <t>FE-010</t>
  </si>
  <si>
    <t>服务区标题与 Hero 信息重复</t>
  </si>
  <si>
    <t>标题改为“What service do you need?”，副文案为选择服务后查看价格与时间</t>
  </si>
  <si>
    <t>服务区目标明确，引导用户选择而非重复介绍平台</t>
  </si>
  <si>
    <t>FE-011</t>
  </si>
  <si>
    <t>底部导航</t>
  </si>
  <si>
    <t>固定底栏遮挡 Limited-Time Offers 等内容</t>
  </si>
  <si>
    <t>为页面增加与底栏高度匹配的底部安全区</t>
  </si>
  <si>
    <t>滚动到底部时任何内容均不被底栏覆盖</t>
  </si>
  <si>
    <t>FE-012</t>
  </si>
  <si>
    <t>浏览器安全区适配风险</t>
  </si>
  <si>
    <t>兼容 iOS Safari safe-area-inset-bottom</t>
  </si>
  <si>
    <t>底栏与浏览器工具栏之间无重叠或异常空隙</t>
  </si>
  <si>
    <t>FE-013</t>
  </si>
  <si>
    <t>优惠区</t>
  </si>
  <si>
    <t>优惠内容在首屏只露出标题且被遮挡</t>
  </si>
  <si>
    <t>调整区块间距并确保优惠卡可继续滚动查看</t>
  </si>
  <si>
    <t>标题与首张优惠卡均可正常出现</t>
  </si>
  <si>
    <t>FE-014</t>
  </si>
  <si>
    <t>登录页</t>
  </si>
  <si>
    <t>标题</t>
  </si>
  <si>
    <t>“Account Sign In”不自然且冗余</t>
  </si>
  <si>
    <t>改为“Sign in”</t>
  </si>
  <si>
    <t>标题精简且符合英文产品习惯</t>
  </si>
  <si>
    <t>FE-015</t>
  </si>
  <si>
    <t>注册链接</t>
  </si>
  <si>
    <t>“Don't have an account?”较长</t>
  </si>
  <si>
    <t>改为“New to HourX? Create account”</t>
  </si>
  <si>
    <t>窄屏不出现不自然断行</t>
  </si>
  <si>
    <t>FE-016</t>
  </si>
  <si>
    <t>账号字段</t>
  </si>
  <si>
    <t>Label 使用“Account”，含义不明确</t>
  </si>
  <si>
    <t>Label 改为“Email or phone number”</t>
  </si>
  <si>
    <t>用户不依赖 placeholder 也能理解字段用途</t>
  </si>
  <si>
    <t>FE-017</t>
  </si>
  <si>
    <t>Placeholder 重复 Label 且缺少格式示例</t>
  </si>
  <si>
    <t>改为“name@example.com or +971…”</t>
  </si>
  <si>
    <t>提示可输入邮箱或 UAE 手机号</t>
  </si>
  <si>
    <t>FE-018</t>
  </si>
  <si>
    <t>密码字段</t>
  </si>
  <si>
    <t>盾牌加号图标不像密码</t>
  </si>
  <si>
    <t>左侧改锁头图标，右侧增加显示/隐藏眼睛图标</t>
  </si>
  <si>
    <t>密码默认隐藏，点击眼睛可切换显示</t>
  </si>
  <si>
    <t>FE-019</t>
  </si>
  <si>
    <t>辅助操作</t>
  </si>
  <si>
    <t>忘记密码和验证码登录连成一句，操作关系不清</t>
  </si>
  <si>
    <t>Forgot password? 放在密码 Label 右侧；验证码登录改成独立次级按钮</t>
  </si>
  <si>
    <t>两个操作完全分开且均有独立点击区域</t>
  </si>
  <si>
    <t>FE-020</t>
  </si>
  <si>
    <t>主按钮</t>
  </si>
  <si>
    <t>“Sign in and continue”冗长</t>
  </si>
  <si>
    <t>主按钮文案简洁且单行居中</t>
  </si>
  <si>
    <t>FE-021</t>
  </si>
  <si>
    <t>验证码入口</t>
  </si>
  <si>
    <t>验证码登录缺少独立层级</t>
  </si>
  <si>
    <t>主按钮下加入 or 分隔线和描边按钮“Sign in with verification code”</t>
  </si>
  <si>
    <t>密码登录与验证码登录关系清晰</t>
  </si>
  <si>
    <t>FE-022</t>
  </si>
  <si>
    <t>顶部区域</t>
  </si>
  <si>
    <t>顶部导航区域过高，表单下移</t>
  </si>
  <si>
    <t>压缩顶部高度约 25%–35%</t>
  </si>
  <si>
    <t>主要输入框和按钮无需过度向下滚动</t>
  </si>
  <si>
    <t>FE-023</t>
  </si>
  <si>
    <t>可访问性</t>
  </si>
  <si>
    <t>Placeholder 和边框颜色偏浅</t>
  </si>
  <si>
    <t>提高文字及边框对比度，保持非禁用状态可辨</t>
  </si>
  <si>
    <t>户外环境下仍能识别字段边界和提示文字</t>
  </si>
  <si>
    <t>FE-024</t>
  </si>
  <si>
    <t>法律条款</t>
  </si>
  <si>
    <t>条款断行较多且视觉较重</t>
  </si>
  <si>
    <t>保留两行结构，仅将 Terms of Service 和 Privacy Policy 设为链接</t>
  </si>
  <si>
    <t>两项条款可分别点击，文案不超过三行</t>
  </si>
  <si>
    <t>FE-025</t>
  </si>
  <si>
    <t>Profile</t>
  </si>
  <si>
    <t>用户信息区</t>
  </si>
  <si>
    <t>邮箱字号过大且长邮箱可能溢出</t>
  </si>
  <si>
    <t>以用户姓名为主标题；邮箱作为次级信息并支持省略</t>
  </si>
  <si>
    <t>长邮箱不溢出，完整邮箱可复制或在详情中查看</t>
  </si>
  <si>
    <t>FE-026</t>
  </si>
  <si>
    <t>蓝色头部过高，挤压功能入口</t>
  </si>
  <si>
    <t>缩短头部约 25%，保留头像、姓名、遮罩手机号</t>
  </si>
  <si>
    <t>常用账户功能更早出现在屏幕内</t>
  </si>
  <si>
    <t>FE-027</t>
  </si>
  <si>
    <t>账户菜单</t>
  </si>
  <si>
    <t>Account Management 含义宽泛</t>
  </si>
  <si>
    <t>改为“Personal Information”</t>
  </si>
  <si>
    <t>进入后可编辑姓名、邮箱、手机号与密码</t>
  </si>
  <si>
    <t>FE-028</t>
  </si>
  <si>
    <t>缺少常用账户功能</t>
  </si>
  <si>
    <t>增加 Saved Addresses、Payment Methods、Notification Settings</t>
  </si>
  <si>
    <t>各入口可正常进入并有空状态</t>
  </si>
  <si>
    <t>FE-029</t>
  </si>
  <si>
    <t>支持入口</t>
  </si>
  <si>
    <t>Online Support 命名不够自然</t>
  </si>
  <si>
    <t>改为“Help &amp; Support”</t>
  </si>
  <si>
    <t>入口涵盖在线客服、FAQ 与联系方式</t>
  </si>
  <si>
    <t>FE-030</t>
  </si>
  <si>
    <t>合作招募</t>
  </si>
  <si>
    <t>Join Us 容易理解为员工招聘，且放在账户核心功能中间</t>
  </si>
  <si>
    <t>改为“Become a Service Partner”，移动到 About/页面下部</t>
  </si>
  <si>
    <t>用户能明确理解是服务商合作申请</t>
  </si>
  <si>
    <t>FE-031</t>
  </si>
  <si>
    <t>合作邮箱</t>
  </si>
  <si>
    <t>careers@ 与供应商招募语义不一致</t>
  </si>
  <si>
    <t>使用 partners@hourxportal.com</t>
  </si>
  <si>
    <t>点击邮箱能启动邮件，页面和后台统一使用该地址</t>
  </si>
  <si>
    <t>FE-032</t>
  </si>
  <si>
    <t>退出登录</t>
  </si>
  <si>
    <t>Logout 卡片权重过高</t>
  </si>
  <si>
    <t>改为页面底部低权重“Log out”文本按钮，并增加确认弹窗</t>
  </si>
  <si>
    <t>误触时可取消，退出后返回未登录首页</t>
  </si>
  <si>
    <t>FE-033</t>
  </si>
  <si>
    <t>全局</t>
  </si>
  <si>
    <t>Logo</t>
  </si>
  <si>
    <t>现有 Logo 细节和副标题缩小后难以识别</t>
  </si>
  <si>
    <t>移动端主 Logo 使用“图形 + HOURX”，移除小号 HOME SERVICES</t>
  </si>
  <si>
    <t>24–32px 高度仍清楚，不出现不可读小字</t>
  </si>
  <si>
    <t>FE-034</t>
  </si>
  <si>
    <t>Logo 资产</t>
  </si>
  <si>
    <t>截图还原 Logo 可能模糊，不能作为正式资产</t>
  </si>
  <si>
    <t>提供 SVG 主文件及透明 PNG，制定深浅背景版本</t>
  </si>
  <si>
    <t>网页加载 SVG，Retina 屏幕边缘清晰</t>
  </si>
  <si>
    <t>FE-035</t>
  </si>
  <si>
    <t>英文一致性</t>
  </si>
  <si>
    <t>Sign In、Log In、Logout 等写法不统一</t>
  </si>
  <si>
    <t>统一使用 Sign in、Create account、Log out</t>
  </si>
  <si>
    <t>全站同一动作使用同一英文写法</t>
  </si>
  <si>
    <t>客服后台订单管理页面修改需求</t>
  </si>
  <si>
    <t>目标：从“订单数据查询表”升级为可完成确认、派单、跟进、异常处理和售后的工作台</t>
  </si>
  <si>
    <t>页面/模块</t>
  </si>
  <si>
    <t>功能类别</t>
  </si>
  <si>
    <t>修改要求</t>
  </si>
  <si>
    <t>BE-001</t>
  </si>
  <si>
    <t>订单列表</t>
  </si>
  <si>
    <t>状态</t>
  </si>
  <si>
    <t>Payment Status 与 Order Status 都显示 Paid</t>
  </si>
  <si>
    <t>Paid 仅属于支付状态；订单使用 New、Confirmed、Awaiting Assignment 等状态</t>
  </si>
  <si>
    <t>同一订单同时有独立支付状态和履约状态</t>
  </si>
  <si>
    <t>BE-002</t>
  </si>
  <si>
    <t>表格布局</t>
  </si>
  <si>
    <t>列数过多，右侧字段和操作被截断</t>
  </si>
  <si>
    <t>列表只保留客服判断优先级所需字段，详细数据移入订单详情</t>
  </si>
  <si>
    <t>1366px 宽度下核心字段和 Actions 可见</t>
  </si>
  <si>
    <t>BE-003</t>
  </si>
  <si>
    <t>字段</t>
  </si>
  <si>
    <t>Customer Phone 与 Contact Number 经常重复</t>
  </si>
  <si>
    <t>列表合并为 Contact；详情页区分 Account Phone 和 Service Contact</t>
  </si>
  <si>
    <t>相同号码不重复占列，不同号码有明确标签</t>
  </si>
  <si>
    <t>BE-004</t>
  </si>
  <si>
    <t>支付信息</t>
  </si>
  <si>
    <t>Payment Channel ID 占用大量空间且不利于客服操作</t>
  </si>
  <si>
    <t>从列表移除，详情页改名 Payment Reference 并提供复制</t>
  </si>
  <si>
    <t>普通列表不显示 pi_ 编号，财务权限可在详情查看</t>
  </si>
  <si>
    <t>BE-005</t>
  </si>
  <si>
    <t>Actions</t>
  </si>
  <si>
    <t>操作栏只有 Remark，无法处理订单</t>
  </si>
  <si>
    <t>增加 View、Assign、Contact 与更多菜单</t>
  </si>
  <si>
    <t>客服无需离开订单模块即可执行核心操作</t>
  </si>
  <si>
    <t>BE-006</t>
  </si>
  <si>
    <t>地址</t>
  </si>
  <si>
    <t>看不到客户服务区域</t>
  </si>
  <si>
    <t>列表增加 Area，仅显示 Dubai Marina 等区域</t>
  </si>
  <si>
    <t>客服可按区域识别与筛选订单</t>
  </si>
  <si>
    <t>BE-007</t>
  </si>
  <si>
    <t>订单详情</t>
  </si>
  <si>
    <t>基础能力</t>
  </si>
  <si>
    <t>没有集中展示全部信息的详情页</t>
  </si>
  <si>
    <t>点击行或 View 打开详情页/右侧抽屉</t>
  </si>
  <si>
    <t>完整订单数据、操作与日志在一个界面查看</t>
  </si>
  <si>
    <t>BE-008</t>
  </si>
  <si>
    <t>客户地址</t>
  </si>
  <si>
    <t>客服无法查看完整服务地址</t>
  </si>
  <si>
    <t>增加区域、楼栋、房号、楼层、定位、门禁和停车说明</t>
  </si>
  <si>
    <t>客服和调度员可查看、复制并打开地图</t>
  </si>
  <si>
    <t>BE-009</t>
  </si>
  <si>
    <t>客户信息</t>
  </si>
  <si>
    <t>缺少姓名、邮箱、联系渠道和历史订单</t>
  </si>
  <si>
    <t>增加客户资料卡和 WhatsApp/电话快捷操作</t>
  </si>
  <si>
    <t>点击后可联系客户，历史订单可追溯</t>
  </si>
  <si>
    <t>BE-010</t>
  </si>
  <si>
    <t>服务信息</t>
  </si>
  <si>
    <t>服务参数分散在列表列中</t>
  </si>
  <si>
    <t>详情页集中显示服务、数量、Add-ons、时间、图片和客户备注</t>
  </si>
  <si>
    <t>所有履约所需信息完整可见</t>
  </si>
  <si>
    <t>BE-011</t>
  </si>
  <si>
    <t>缺少金额构成和退款记录</t>
  </si>
  <si>
    <t>展示小计、Add-ons、折扣、VAT、总额、支付方式与退款历史</t>
  </si>
  <si>
    <t>金额合计与订单总额一致，退款可追踪</t>
  </si>
  <si>
    <t>BE-012</t>
  </si>
  <si>
    <t>派单</t>
  </si>
  <si>
    <t>服务商分配</t>
  </si>
  <si>
    <t>缺少 Assign Provider 功能</t>
  </si>
  <si>
    <t>按服务、区域、档期、评分和距离推荐可用服务商</t>
  </si>
  <si>
    <t>可派单、撤回、更换；状态及时间被记录</t>
  </si>
  <si>
    <t>BE-013</t>
  </si>
  <si>
    <t>接单状态</t>
  </si>
  <si>
    <t>无法得知服务商是否已接受</t>
  </si>
  <si>
    <t>增加 Pending、Accepted、Rejected、Expired</t>
  </si>
  <si>
    <t>拒绝或超时后订单自动回到待派单</t>
  </si>
  <si>
    <t>BE-014</t>
  </si>
  <si>
    <t>服务商信息</t>
  </si>
  <si>
    <t>订单中缺少服务商联系方式与 ETA</t>
  </si>
  <si>
    <t>详情页展示服务商、联系电话、分配时间和预计到达时间</t>
  </si>
  <si>
    <t>客服可联系服务商并更新 ETA</t>
  </si>
  <si>
    <t>BE-015</t>
  </si>
  <si>
    <t>筛选</t>
  </si>
  <si>
    <t>全局搜索</t>
  </si>
  <si>
    <t>订单号、电话等搜索字段分散</t>
  </si>
  <si>
    <t>增加全局搜索，支持订单号、姓名、电话和邮箱</t>
  </si>
  <si>
    <t>任一关键字可定位订单</t>
  </si>
  <si>
    <t>BE-016</t>
  </si>
  <si>
    <t>快捷队列</t>
  </si>
  <si>
    <t>缺少客服待办视角</t>
  </si>
  <si>
    <t>增加 New、Unassigned、Starting Soon、Overdue、Issues</t>
  </si>
  <si>
    <t>点击快捷队列自动应用筛选</t>
  </si>
  <si>
    <t>BE-017</t>
  </si>
  <si>
    <t>业务维度</t>
  </si>
  <si>
    <t>缺少 Area、Provider、Assignment Status 筛选</t>
  </si>
  <si>
    <t>补充区域、服务商和派单状态筛选</t>
  </si>
  <si>
    <t>筛选可组合且 Reset 后恢复默认</t>
  </si>
  <si>
    <t>BE-018</t>
  </si>
  <si>
    <t>Dashboard</t>
  </si>
  <si>
    <t>统计卡片</t>
  </si>
  <si>
    <t>无法快速判断当天工作量和风险</t>
  </si>
  <si>
    <t>显示 New、Unassigned、Starting in 2 hours、In progress、Issues</t>
  </si>
  <si>
    <t>卡片数量准确，点击可进入对应订单列表</t>
  </si>
  <si>
    <t>BE-019</t>
  </si>
  <si>
    <t>沟通</t>
  </si>
  <si>
    <t>客户联系</t>
  </si>
  <si>
    <t>后台无一键联系入口</t>
  </si>
  <si>
    <t>订单详情提供 WhatsApp、电话和 Email</t>
  </si>
  <si>
    <t>沟通入口关联当前订单</t>
  </si>
  <si>
    <t>BE-020</t>
  </si>
  <si>
    <t>沟通记录</t>
  </si>
  <si>
    <t>客服换班后无法了解历史沟通</t>
  </si>
  <si>
    <t>保存沟通时间、渠道、操作人和摘要</t>
  </si>
  <si>
    <t>后续客服可查看完整沟通时间线</t>
  </si>
  <si>
    <t>BE-021</t>
  </si>
  <si>
    <t>备注</t>
  </si>
  <si>
    <t>内部备注</t>
  </si>
  <si>
    <t>Remark 可能覆盖旧内容，缺少人员与时间</t>
  </si>
  <si>
    <t>改为不可覆盖的时间线式 Internal Notes</t>
  </si>
  <si>
    <t>每条备注记录作者和创建时间</t>
  </si>
  <si>
    <t>BE-022</t>
  </si>
  <si>
    <t>审计</t>
  </si>
  <si>
    <t>Activity Log</t>
  </si>
  <si>
    <t>状态、地址、金额和派单修改不可追踪</t>
  </si>
  <si>
    <t>记录操作者、时间、修改前后值与原因</t>
  </si>
  <si>
    <t>主管可按订单查看完整审计记录</t>
  </si>
  <si>
    <t>BE-023</t>
  </si>
  <si>
    <t>订单操作</t>
  </si>
  <si>
    <t>改期</t>
  </si>
  <si>
    <t>客服无法修改服务时间</t>
  </si>
  <si>
    <t>增加 Reschedule 并记录旧时间、新时间和原因</t>
  </si>
  <si>
    <t>客户与服务商收到变更通知</t>
  </si>
  <si>
    <t>BE-024</t>
  </si>
  <si>
    <t>取消</t>
  </si>
  <si>
    <t>缺少标准取消流程</t>
  </si>
  <si>
    <t>增加 Cancel Order、原因、费用和权限控制</t>
  </si>
  <si>
    <t>取消状态、原因和退款处理一致</t>
  </si>
  <si>
    <t>BE-025</t>
  </si>
  <si>
    <t>退款</t>
  </si>
  <si>
    <t>退款处理</t>
  </si>
  <si>
    <t>缺少部分/全额退款及审批</t>
  </si>
  <si>
    <t>增加退款申请、主管审批和结果同步</t>
  </si>
  <si>
    <t>退款金额不超过已付金额并保留记录</t>
  </si>
  <si>
    <t>BE-026</t>
  </si>
  <si>
    <t>异常工单</t>
  </si>
  <si>
    <t>售后</t>
  </si>
  <si>
    <t>迟到、No Show、投诉等无统一入口</t>
  </si>
  <si>
    <t>增加 Support Tickets 和异常标签</t>
  </si>
  <si>
    <t>每个异常有负责人、优先级、期限和结果</t>
  </si>
  <si>
    <t>BE-027</t>
  </si>
  <si>
    <t>权限</t>
  </si>
  <si>
    <t>地址隐私</t>
  </si>
  <si>
    <t>地址可能对无关人员过度暴露</t>
  </si>
  <si>
    <t>客服/调度可见完整地址；未接单服务商只见区域；接单后显示完整地址</t>
  </si>
  <si>
    <t>角色与订单状态共同控制地址可见范围</t>
  </si>
  <si>
    <t>BE-028</t>
  </si>
  <si>
    <t>敏感支付数据</t>
  </si>
  <si>
    <t>支付参考号可能对所有角色可见</t>
  </si>
  <si>
    <t>限制为财务、主管和管理员；记录复制和查看行为</t>
  </si>
  <si>
    <t>普通客服默认不见完整支付参考号</t>
  </si>
  <si>
    <t>BE-029</t>
  </si>
  <si>
    <t>系统配置</t>
  </si>
  <si>
    <t>普通客服可能看到系统配置菜单</t>
  </si>
  <si>
    <t>按角色隐藏 Services、System Configuration、Users &amp; Permissions</t>
  </si>
  <si>
    <t>客服账号无法访问管理配置路由</t>
  </si>
  <si>
    <t>BE-030</t>
  </si>
  <si>
    <t>实时性</t>
  </si>
  <si>
    <t>新订单提醒</t>
  </si>
  <si>
    <t>依赖手动 Refresh 可能遗漏订单</t>
  </si>
  <si>
    <t>增加自动刷新、声音/桌面提示或实时消息</t>
  </si>
  <si>
    <t>新订单在目标时间内出现在待处理队列</t>
  </si>
  <si>
    <t>BE-031</t>
  </si>
  <si>
    <t>列表</t>
  </si>
  <si>
    <t>排序</t>
  </si>
  <si>
    <t>无法按紧急程度安排处理顺序</t>
  </si>
  <si>
    <t>支持预约时间、下单时间、优先级排序；临近订单置顶</t>
  </si>
  <si>
    <t>即将开始且未派单的订单优先展示</t>
  </si>
  <si>
    <t>BE-032</t>
  </si>
  <si>
    <t>导出</t>
  </si>
  <si>
    <t>缺少业务数据导出</t>
  </si>
  <si>
    <t>按当前筛选导出 Excel/CSV，并受权限控制</t>
  </si>
  <si>
    <t>导出字段与筛选结果一致</t>
  </si>
  <si>
    <t>BE-033</t>
  </si>
  <si>
    <t>侧边栏</t>
  </si>
  <si>
    <t>模块结构</t>
  </si>
  <si>
    <t>菜单偏配置导向，不符合客服工作流</t>
  </si>
  <si>
    <t>增加 Orders、Dispatch、Support Tickets、Customers、Providers、Refunds</t>
  </si>
  <si>
    <t>客服核心模块排在配置模块之前</t>
  </si>
  <si>
    <t>BE-034</t>
  </si>
  <si>
    <t>格式</t>
  </si>
  <si>
    <t>金额与时间</t>
  </si>
  <si>
    <t>金额缺少币种语义，时间格式偏数据库化</t>
  </si>
  <si>
    <t>金额显示 AED 173.25；时间显示 18 Aug 2026 · 15:00–17:00</t>
  </si>
  <si>
    <t>列表易读，详情保留完整时间戳</t>
  </si>
  <si>
    <t>BE-035</t>
  </si>
  <si>
    <t>示例订单</t>
  </si>
  <si>
    <t>处理提示</t>
  </si>
  <si>
    <t>已付款但未派单的订单未被突出</t>
  </si>
  <si>
    <t>突出显示 Paid · Awaiting Assignment · Unassigned，并显示开始倒计时</t>
  </si>
  <si>
    <t>客服一眼知道下一步是分配服务商</t>
  </si>
  <si>
    <t>订单字段与状态规范</t>
  </si>
  <si>
    <t>用于订单列表、订单详情、支付状态与履约状态的产品及开发对齐</t>
  </si>
  <si>
    <t>位置</t>
  </si>
  <si>
    <t>显示内容</t>
  </si>
  <si>
    <t>示例</t>
  </si>
  <si>
    <t>处理方式</t>
  </si>
  <si>
    <t>业务用途</t>
  </si>
  <si>
    <t>Order</t>
  </si>
  <si>
    <t>订单号＋下单时间</t>
  </si>
  <si>
    <t>OR1787…48666 · 13:57</t>
  </si>
  <si>
    <t>保留</t>
  </si>
  <si>
    <t>客服识别订单</t>
  </si>
  <si>
    <t>Service</t>
  </si>
  <si>
    <t>服务名称＋数量</t>
  </si>
  <si>
    <t>Split AC Cleaning · 1 unit</t>
  </si>
  <si>
    <t>快速判断服务需求</t>
  </si>
  <si>
    <t>Customer</t>
  </si>
  <si>
    <t>客户姓名＋联系电话</t>
  </si>
  <si>
    <t>Sofia · +971 58 182 3688</t>
  </si>
  <si>
    <t>快速联系客户</t>
  </si>
  <si>
    <t>Appointment</t>
  </si>
  <si>
    <t>服务日期＋时间段</t>
  </si>
  <si>
    <t>18 Aug · 15:00–17:00</t>
  </si>
  <si>
    <t>判断时间优先级</t>
  </si>
  <si>
    <t>Area</t>
  </si>
  <si>
    <t>服务区域</t>
  </si>
  <si>
    <t>Dubai Marina</t>
  </si>
  <si>
    <t>新增</t>
  </si>
  <si>
    <t>派单和筛选</t>
  </si>
  <si>
    <t>Payment</t>
  </si>
  <si>
    <t>支付状态</t>
  </si>
  <si>
    <t>Paid</t>
  </si>
  <si>
    <t>了解付款情况</t>
  </si>
  <si>
    <t>Order Status</t>
  </si>
  <si>
    <t>履约状态</t>
  </si>
  <si>
    <t>Awaiting Assignment</t>
  </si>
  <si>
    <t>保留并修正</t>
  </si>
  <si>
    <t>了解下一步操作</t>
  </si>
  <si>
    <t>Provider</t>
  </si>
  <si>
    <t>服务商或未分配</t>
  </si>
  <si>
    <t>Unassigned</t>
  </si>
  <si>
    <t>识别待派单订单</t>
  </si>
  <si>
    <t>Amount</t>
  </si>
  <si>
    <t>订单金额</t>
  </si>
  <si>
    <t>AED 173.25</t>
  </si>
  <si>
    <t>快速查看金额</t>
  </si>
  <si>
    <t>View / Assign / ⋯</t>
  </si>
  <si>
    <t>修改</t>
  </si>
  <si>
    <t>处理订单</t>
  </si>
  <si>
    <t>Full Address</t>
  </si>
  <si>
    <t>完整服务地址</t>
  </si>
  <si>
    <t>Marina Gate 1, Apt 1208</t>
  </si>
  <si>
    <t>客服确认和导航</t>
  </si>
  <si>
    <t>Location Pin</t>
  </si>
  <si>
    <t>地图定位</t>
  </si>
  <si>
    <t>Open in Maps</t>
  </si>
  <si>
    <t>服务商导航</t>
  </si>
  <si>
    <t>Access Instructions</t>
  </si>
  <si>
    <t>门禁/停车说明</t>
  </si>
  <si>
    <t>Parking B1; call on arrival</t>
  </si>
  <si>
    <t>降低上门阻碍</t>
  </si>
  <si>
    <t>Payment Reference</t>
  </si>
  <si>
    <t>支付系统编号</t>
  </si>
  <si>
    <t>pi_3U5…</t>
  </si>
  <si>
    <t>从列表移入</t>
  </si>
  <si>
    <t>财务查询</t>
  </si>
  <si>
    <t>Internal Notes</t>
  </si>
  <si>
    <t>客服内部备注</t>
  </si>
  <si>
    <t>19 Aug · Amy · Customer confirmed</t>
  </si>
  <si>
    <t>轮班交接</t>
  </si>
  <si>
    <t>操作记录</t>
  </si>
  <si>
    <t>Status changed: New → Confirmed</t>
  </si>
  <si>
    <t>审计追踪</t>
  </si>
  <si>
    <t>状态类型</t>
  </si>
  <si>
    <t>英文状态</t>
  </si>
  <si>
    <t>中文</t>
  </si>
  <si>
    <t>下一步</t>
  </si>
  <si>
    <t>New</t>
  </si>
  <si>
    <t>新订单</t>
  </si>
  <si>
    <t>客户刚提交，尚未确认</t>
  </si>
  <si>
    <t>客服确认</t>
  </si>
  <si>
    <t>Confirmed</t>
  </si>
  <si>
    <t>已确认</t>
  </si>
  <si>
    <t>订单信息已核对</t>
  </si>
  <si>
    <t>进入待派单</t>
  </si>
  <si>
    <t>待派单</t>
  </si>
  <si>
    <t>尚未分配服务商</t>
  </si>
  <si>
    <t>分配服务商</t>
  </si>
  <si>
    <t>Assigned</t>
  </si>
  <si>
    <t>已派单</t>
  </si>
  <si>
    <t>服务商已接受</t>
  </si>
  <si>
    <t>等待出发</t>
  </si>
  <si>
    <t>On the Way</t>
  </si>
  <si>
    <t>前往中</t>
  </si>
  <si>
    <t>服务人员前往地址</t>
  </si>
  <si>
    <t>跟踪 ETA</t>
  </si>
  <si>
    <t>In Progress</t>
  </si>
  <si>
    <t>服务中</t>
  </si>
  <si>
    <t>服务已经开始</t>
  </si>
  <si>
    <t>等待完成</t>
  </si>
  <si>
    <t>Completed</t>
  </si>
  <si>
    <t>已完成</t>
  </si>
  <si>
    <t>服务完成</t>
  </si>
  <si>
    <t>评价/售后</t>
  </si>
  <si>
    <t>Rescheduled</t>
  </si>
  <si>
    <t>已改期</t>
  </si>
  <si>
    <t>预约时间已变更</t>
  </si>
  <si>
    <t>重新确认派单</t>
  </si>
  <si>
    <t>Cancelled</t>
  </si>
  <si>
    <t>已取消</t>
  </si>
  <si>
    <t>订单终止</t>
  </si>
  <si>
    <t>处理费用/退款</t>
  </si>
  <si>
    <t>Unpaid</t>
  </si>
  <si>
    <t>未付款</t>
  </si>
  <si>
    <t>尚未完成支付</t>
  </si>
  <si>
    <t>提醒付款</t>
  </si>
  <si>
    <t>Pending</t>
  </si>
  <si>
    <t>处理中</t>
  </si>
  <si>
    <t>等待支付结果</t>
  </si>
  <si>
    <t>轮询/人工核对</t>
  </si>
  <si>
    <t>已付款</t>
  </si>
  <si>
    <t>支付成功</t>
  </si>
  <si>
    <t>继续履约</t>
  </si>
  <si>
    <t>Failed</t>
  </si>
  <si>
    <t>支付失败</t>
  </si>
  <si>
    <t>付款未完成</t>
  </si>
  <si>
    <t>重新支付</t>
  </si>
  <si>
    <t>Partially Refunded</t>
  </si>
  <si>
    <t>部分退款</t>
  </si>
  <si>
    <t>已退回部分金额</t>
  </si>
  <si>
    <t>记录原因</t>
  </si>
  <si>
    <t>Refunded</t>
  </si>
  <si>
    <t>已退款</t>
  </si>
  <si>
    <t>全额退款完成</t>
  </si>
  <si>
    <t>关闭财务流程</t>
  </si>
  <si>
    <t>建议开发优先级与排期清单</t>
  </si>
  <si>
    <t>状态列可编辑，用于产品、设计、前端、后端和运营协同</t>
  </si>
  <si>
    <t>范围</t>
  </si>
  <si>
    <t>开发事项</t>
  </si>
  <si>
    <t>预期效果</t>
  </si>
  <si>
    <t>建议负责人</t>
  </si>
  <si>
    <t>前端</t>
  </si>
  <si>
    <t>重做主页 Hero：单一标题、遮罩、主次 CTA</t>
  </si>
  <si>
    <t>首屏理解与预约转化</t>
  </si>
  <si>
    <t>设计/前端</t>
  </si>
  <si>
    <t>未开始</t>
  </si>
  <si>
    <t>服务入口改为两列卡片</t>
  </si>
  <si>
    <t>移动端可读性与点击面积</t>
  </si>
  <si>
    <t>修复底部导航遮挡和安全区</t>
  </si>
  <si>
    <t>避免内容不可见</t>
  </si>
  <si>
    <t>拆分登录页忘记密码与验证码登录</t>
  </si>
  <si>
    <t>避免误解和误触</t>
  </si>
  <si>
    <t>Profile 长邮箱与信息层级修复</t>
  </si>
  <si>
    <t>避免溢出并明确登录身份</t>
  </si>
  <si>
    <t>使用正式 SVG Logo 资产</t>
  </si>
  <si>
    <t>保证品牌清晰度</t>
  </si>
  <si>
    <t>品牌/前端</t>
  </si>
  <si>
    <t>后台</t>
  </si>
  <si>
    <t>拆分支付状态与订单状态</t>
  </si>
  <si>
    <t>保证业务数据正确</t>
  </si>
  <si>
    <t>产品/后端</t>
  </si>
  <si>
    <t>精简订单列表并新增详情页</t>
  </si>
  <si>
    <t>建立客服处理主界面</t>
  </si>
  <si>
    <t>产品/前端/后端</t>
  </si>
  <si>
    <t>增加完整地址与地图能力</t>
  </si>
  <si>
    <t>支持确认地址与派单</t>
  </si>
  <si>
    <t>前端/后端</t>
  </si>
  <si>
    <t>增加分配、更换服务商及接单状态</t>
  </si>
  <si>
    <t>完成履约闭环</t>
  </si>
  <si>
    <t>增加 View、Assign、Contact、More</t>
  </si>
  <si>
    <t>让客服可以处理订单</t>
  </si>
  <si>
    <t>增加内部备注和 Activity Log</t>
  </si>
  <si>
    <t>支持交接与审计</t>
  </si>
  <si>
    <t>后端</t>
  </si>
  <si>
    <t>统一英文用词和账户菜单</t>
  </si>
  <si>
    <t>提升产品一致性</t>
  </si>
  <si>
    <t>产品/设计</t>
  </si>
  <si>
    <t>快捷队列、Dashboard 和组合筛选</t>
  </si>
  <si>
    <t>提高处理效率</t>
  </si>
  <si>
    <t>产品/前端</t>
  </si>
  <si>
    <t>WhatsApp、改期、取消和退款</t>
  </si>
  <si>
    <t>覆盖常见客服场景</t>
  </si>
  <si>
    <t>异常工单与角色权限</t>
  </si>
  <si>
    <t>支持规模化运营</t>
  </si>
  <si>
    <t>自动提醒、导出和运营报表</t>
  </si>
  <si>
    <t>降低遗漏并支持分析</t>
  </si>
  <si>
    <t>后端/数据</t>
  </si>
  <si>
    <t>HourX 效果图页面文案清单</t>
  </si>
  <si>
    <t>用途：前端开发、设计验收和英文文案统一｜覆盖主页、登录页、Profile 与 Logo</t>
  </si>
  <si>
    <t>区域</t>
  </si>
  <si>
    <t>元素类型</t>
  </si>
  <si>
    <t>原文案/当前文案</t>
  </si>
  <si>
    <t>优化后文案</t>
  </si>
  <si>
    <t>显示规则</t>
  </si>
  <si>
    <t>开发备注</t>
  </si>
  <si>
    <t>CP-001</t>
  </si>
  <si>
    <t>按钮</t>
  </si>
  <si>
    <t>Log In / Sign Up</t>
  </si>
  <si>
    <t>Sign in</t>
  </si>
  <si>
    <t>未登录时显示</t>
  </si>
  <si>
    <t>缩短按钮宽度；注册链接放入登录页</t>
  </si>
  <si>
    <t>CP-002</t>
  </si>
  <si>
    <t>语言入口</t>
  </si>
  <si>
    <t>English</t>
  </si>
  <si>
    <t>全部状态显示</t>
  </si>
  <si>
    <t>搭配地球图标；保持单行</t>
  </si>
  <si>
    <t>CP-003</t>
  </si>
  <si>
    <t>账户入口</t>
  </si>
  <si>
    <t>用户头像 / 姓名首字母</t>
  </si>
  <si>
    <t>仅登录后显示</t>
  </si>
  <si>
    <t>避免与底部 Profile 重复使用文字按钮</t>
  </si>
  <si>
    <t>CP-004</t>
  </si>
  <si>
    <t>主标题</t>
  </si>
  <si>
    <t>Your Professional Home Service Platform</t>
  </si>
  <si>
    <t>Trusted Home Services in Dubai</t>
  </si>
  <si>
    <t>只保留一个核心主标题；左对齐</t>
  </si>
  <si>
    <t>CP-005</t>
  </si>
  <si>
    <t>品牌口号</t>
  </si>
  <si>
    <t>CLEAN. CARE. COMFORT</t>
  </si>
  <si>
    <t>—</t>
  </si>
  <si>
    <t>建议移除</t>
  </si>
  <si>
    <t>避免与价值主张重复</t>
  </si>
  <si>
    <t>CP-006</t>
  </si>
  <si>
    <t>说明文字</t>
  </si>
  <si>
    <t>Book easily through our website. Trusted Professionals at Your Doorstep.</t>
  </si>
  <si>
    <t>Verified professionals. Transparent pricing. Easy booking.</t>
  </si>
  <si>
    <t>增加深色渐变遮罩，确保文字可读</t>
  </si>
  <si>
    <t>CP-007</t>
  </si>
  <si>
    <t>信任标签</t>
  </si>
  <si>
    <t>Verified pros</t>
  </si>
  <si>
    <t>使用勾选图标</t>
  </si>
  <si>
    <t>CP-008</t>
  </si>
  <si>
    <t>Service guarantee</t>
  </si>
  <si>
    <t>CP-009</t>
  </si>
  <si>
    <t>Book Now</t>
  </si>
  <si>
    <t>Book a service</t>
  </si>
  <si>
    <t>蓝色填充；全宽；最高视觉权重</t>
  </si>
  <si>
    <t>CP-010</t>
  </si>
  <si>
    <t>次按钮</t>
  </si>
  <si>
    <t>WhatsApp</t>
  </si>
  <si>
    <t>Chat on WhatsApp</t>
  </si>
  <si>
    <t>白底或半透明；使用 WhatsApp 图标</t>
  </si>
  <si>
    <t>CP-011</t>
  </si>
  <si>
    <t>眉题</t>
  </si>
  <si>
    <t>SERVICES</t>
  </si>
  <si>
    <t>蓝色大写小标题</t>
  </si>
  <si>
    <t>CP-012</t>
  </si>
  <si>
    <t>On-Demand Home Services in Dubai</t>
  </si>
  <si>
    <t>What service do you need?</t>
  </si>
  <si>
    <t>从平台介绍改为任务导向</t>
  </si>
  <si>
    <t>CP-013</t>
  </si>
  <si>
    <t>Browse cleaning, AC, maintenance, and at-home wellness services, then manage your booking online in one place.</t>
  </si>
  <si>
    <t>Choose a service to see prices and available times.</t>
  </si>
  <si>
    <t>保持一至两行</t>
  </si>
  <si>
    <t>CP-014</t>
  </si>
  <si>
    <t>服务卡片</t>
  </si>
  <si>
    <t>服务名称</t>
  </si>
  <si>
    <t>Deep cleaning</t>
  </si>
  <si>
    <t>Deep Cleaning</t>
  </si>
  <si>
    <t>统一 Title Case</t>
  </si>
  <si>
    <t>CP-015</t>
  </si>
  <si>
    <t>Regular Cleaning</t>
  </si>
  <si>
    <t>保持不变</t>
  </si>
  <si>
    <t>CP-016</t>
  </si>
  <si>
    <t>Maintenance &amp; Repair</t>
  </si>
  <si>
    <t>CP-017</t>
  </si>
  <si>
    <t>Lifestyle &amp; Wellness</t>
  </si>
  <si>
    <t>滚动后显示</t>
  </si>
  <si>
    <t>第五项放下一行或 More services</t>
  </si>
  <si>
    <t>CP-018</t>
  </si>
  <si>
    <t>导航项</t>
  </si>
  <si>
    <t>Home</t>
  </si>
  <si>
    <t>当前页使用蓝色高亮</t>
  </si>
  <si>
    <t>CP-019</t>
  </si>
  <si>
    <t>Orders</t>
  </si>
  <si>
    <t>未登录点击时引导登录</t>
  </si>
  <si>
    <t>CP-020</t>
  </si>
  <si>
    <t>未登录点击进入登录页</t>
  </si>
  <si>
    <t>CP-021</t>
  </si>
  <si>
    <t>页面标题</t>
  </si>
  <si>
    <t>Account Sign In</t>
  </si>
  <si>
    <t>未登录显示</t>
  </si>
  <si>
    <t>使用简洁动词短语</t>
  </si>
  <si>
    <t>CP-022</t>
  </si>
  <si>
    <t>辅助文案</t>
  </si>
  <si>
    <t>Don't have an account? Create an account</t>
  </si>
  <si>
    <t>New to HourX? Create account</t>
  </si>
  <si>
    <t>Create account 为蓝色链接</t>
  </si>
  <si>
    <t>CP-023</t>
  </si>
  <si>
    <t>账号输入框</t>
  </si>
  <si>
    <t>Label</t>
  </si>
  <si>
    <t>Account</t>
  </si>
  <si>
    <t>Email or phone number</t>
  </si>
  <si>
    <t>Label 输入后仍保留</t>
  </si>
  <si>
    <t>CP-024</t>
  </si>
  <si>
    <t>Placeholder</t>
  </si>
  <si>
    <t>Enter your phone number or email</t>
  </si>
  <si>
    <t>name@example.com or +971…</t>
  </si>
  <si>
    <t>输入前显示</t>
  </si>
  <si>
    <t>开始输入后自动消失</t>
  </si>
  <si>
    <t>CP-025</t>
  </si>
  <si>
    <t>密码输入框</t>
  </si>
  <si>
    <t>Password</t>
  </si>
  <si>
    <t>右侧放 Forgot password?</t>
  </si>
  <si>
    <t>CP-026</t>
  </si>
  <si>
    <t>链接</t>
  </si>
  <si>
    <t>Forgot your password?</t>
  </si>
  <si>
    <t>Forgot password?</t>
  </si>
  <si>
    <t>与验证码登录分开</t>
  </si>
  <si>
    <t>CP-027</t>
  </si>
  <si>
    <t>Enter your login password</t>
  </si>
  <si>
    <t>Enter your password</t>
  </si>
  <si>
    <t>左侧锁图标；右侧显示/隐藏图标</t>
  </si>
  <si>
    <t>CP-028</t>
  </si>
  <si>
    <t>Sign in and continue</t>
  </si>
  <si>
    <t>蓝色填充；单行居中</t>
  </si>
  <si>
    <t>CP-029</t>
  </si>
  <si>
    <t>登录方式</t>
  </si>
  <si>
    <t>分隔文字</t>
  </si>
  <si>
    <t>or</t>
  </si>
  <si>
    <t>左右使用细灰线</t>
  </si>
  <si>
    <t>CP-030</t>
  </si>
  <si>
    <t>Sign in with a verification code</t>
  </si>
  <si>
    <t>Sign in with verification code</t>
  </si>
  <si>
    <t>白底蓝色描边</t>
  </si>
  <si>
    <t>CP-031</t>
  </si>
  <si>
    <t>By signing in, you agree to our Terms of Service and Privacy Policy</t>
  </si>
  <si>
    <t>Terms of Service 与 Privacy Policy 分别可点击</t>
  </si>
  <si>
    <t>CP-032</t>
  </si>
  <si>
    <t>主信息</t>
  </si>
  <si>
    <t>用户邮箱</t>
  </si>
  <si>
    <t>用户姓名</t>
  </si>
  <si>
    <t>已登录显示</t>
  </si>
  <si>
    <t>姓名为主标题；邮箱作为次级信息</t>
  </si>
  <si>
    <t>CP-033</t>
  </si>
  <si>
    <t>手机号</t>
  </si>
  <si>
    <t>+971****3688</t>
  </si>
  <si>
    <t>+971 **** 3688</t>
  </si>
  <si>
    <t>默认遮罩；详情页可查看完整号码</t>
  </si>
  <si>
    <t>CP-034</t>
  </si>
  <si>
    <t>入口</t>
  </si>
  <si>
    <t>Account Management</t>
  </si>
  <si>
    <t>Personal Information</t>
  </si>
  <si>
    <t>包含姓名、邮箱、手机号和密码</t>
  </si>
  <si>
    <t>CP-035</t>
  </si>
  <si>
    <t>Saved Addresses</t>
  </si>
  <si>
    <t>管理常用服务地址</t>
  </si>
  <si>
    <t>CP-036</t>
  </si>
  <si>
    <t>Payment Methods</t>
  </si>
  <si>
    <t>管理支付方式</t>
  </si>
  <si>
    <t>CP-037</t>
  </si>
  <si>
    <t>Notification Settings</t>
  </si>
  <si>
    <t>管理消息通知</t>
  </si>
  <si>
    <t>CP-038</t>
  </si>
  <si>
    <t>Online Support</t>
  </si>
  <si>
    <t>Help &amp; Support</t>
  </si>
  <si>
    <t>全部状态可用</t>
  </si>
  <si>
    <t>包含在线客服、FAQ 和联系方式</t>
  </si>
  <si>
    <t>CP-039</t>
  </si>
  <si>
    <t>Join Us</t>
  </si>
  <si>
    <t>Become a Service Partner</t>
  </si>
  <si>
    <t>明确是服务商合作，而非员工招聘</t>
  </si>
  <si>
    <t>CP-040</t>
  </si>
  <si>
    <t>We are looking for Dubai-based repair service partners who operate with their own teams.</t>
  </si>
  <si>
    <t>Are you a Dubai-based service company with your own professional team? Partner with HourX and grow your business.</t>
  </si>
  <si>
    <t>合作卡片放到核心账户功能之后</t>
  </si>
  <si>
    <t>CP-041</t>
  </si>
  <si>
    <t>联系邮箱</t>
  </si>
  <si>
    <t>careers@hourxportal.com</t>
  </si>
  <si>
    <t>partners@hourxportal.com</t>
  </si>
  <si>
    <t>点击后启动邮件客户端</t>
  </si>
  <si>
    <t>CP-042</t>
  </si>
  <si>
    <t>Logout</t>
  </si>
  <si>
    <t>Log out</t>
  </si>
  <si>
    <t>低权重文本按钮；点击后确认</t>
  </si>
  <si>
    <t>CP-043</t>
  </si>
  <si>
    <t>主 Logo</t>
  </si>
  <si>
    <t>品牌文字</t>
  </si>
  <si>
    <t>HOURX + HOME SERVICES</t>
  </si>
  <si>
    <t>HOURX</t>
  </si>
  <si>
    <t>移动端导航使用</t>
  </si>
  <si>
    <t>去掉手机端不可读的小副标题</t>
  </si>
  <si>
    <t>CP-044</t>
  </si>
  <si>
    <t>Logo 图形</t>
  </si>
  <si>
    <t>图形概念</t>
  </si>
  <si>
    <t>房顶图形</t>
  </si>
  <si>
    <t>房屋保护轮廓 + 抽象 X</t>
  </si>
  <si>
    <t>全部品牌场景</t>
  </si>
  <si>
    <t>深蓝＋亮蓝；24px 仍可识别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</si>
</sst>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name val="Carlito"/>
      <charset val="134"/>
    </font>
    <font>
      <b/>
      <sz val="20"/>
      <color rgb="FFFFFFFF"/>
      <name val="Carlito"/>
      <charset val="134"/>
    </font>
    <font>
      <i/>
      <sz val="11"/>
      <color rgb="FF12213A"/>
      <name val="Carlito"/>
      <charset val="134"/>
    </font>
    <font>
      <b/>
      <sz val="10"/>
      <color rgb="FFFFFFFF"/>
      <name val="Carlito"/>
      <charset val="134"/>
    </font>
    <font>
      <sz val="10"/>
      <color rgb="FF12213A"/>
      <name val="Aptos"/>
      <charset val="134"/>
    </font>
    <font>
      <b/>
      <sz val="10"/>
      <color rgb="FFFFFFFF"/>
      <name val="Aptos"/>
      <charset val="134"/>
    </font>
    <font>
      <b/>
      <sz val="20"/>
      <color rgb="FF12213A"/>
      <name val="Aptos"/>
      <charset val="134"/>
    </font>
    <font>
      <sz val="11"/>
      <color rgb="FF12213A"/>
      <name val="Aptos"/>
      <charset val="134"/>
    </font>
    <font>
      <i/>
      <sz val="11"/>
      <color rgb="FF12213A"/>
      <name val="Aptos"/>
      <charset val="134"/>
    </font>
    <font>
      <b/>
      <sz val="11"/>
      <color rgb="FF12213A"/>
      <name val="Aptos"/>
      <charset val="134"/>
    </font>
    <font>
      <b/>
      <sz val="13"/>
      <color rgb="FF12213A"/>
      <name val="Apto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2213A"/>
        <bgColor indexed="64"/>
      </patternFill>
    </fill>
    <fill>
      <patternFill patternType="solid">
        <fgColor rgb="FFEAF7FE"/>
        <bgColor indexed="64"/>
      </patternFill>
    </fill>
    <fill>
      <patternFill patternType="solid">
        <fgColor rgb="FFF5F8FC"/>
        <bgColor indexed="64"/>
      </patternFill>
    </fill>
    <fill>
      <patternFill patternType="solid">
        <fgColor rgb="FFFDE8E8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EEF2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/>
      <right style="thin">
        <color rgb="FF40516B"/>
      </right>
      <top/>
      <bottom/>
      <diagonal/>
    </border>
    <border>
      <left style="thin">
        <color rgb="FF40516B"/>
      </left>
      <right style="thin">
        <color rgb="FF40516B"/>
      </right>
      <top/>
      <bottom/>
      <diagonal/>
    </border>
    <border>
      <left/>
      <right/>
      <top/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 style="thin">
        <color rgb="FF40516B"/>
      </left>
      <right/>
      <top/>
      <bottom/>
      <diagonal/>
    </border>
    <border>
      <left/>
      <right style="thin">
        <color rgb="FF40516B"/>
      </right>
      <top/>
      <bottom style="thin">
        <color rgb="FFD9E2EC"/>
      </bottom>
      <diagonal/>
    </border>
    <border>
      <left style="thin">
        <color rgb="FF40516B"/>
      </left>
      <right style="thin">
        <color rgb="FF40516B"/>
      </right>
      <top/>
      <bottom style="thin">
        <color rgb="FFD9E2EC"/>
      </bottom>
      <diagonal/>
    </border>
    <border>
      <left style="thin">
        <color rgb="FF40516B"/>
      </left>
      <right/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/>
      <top style="thin">
        <color rgb="FFD9E2EC"/>
      </top>
      <bottom style="thin">
        <color rgb="FFD9E2EC"/>
      </bottom>
      <diagonal/>
    </border>
    <border>
      <left style="thin">
        <color rgb="FFD9E2EC"/>
      </left>
      <right/>
      <top style="thin">
        <color rgb="FFD9E2EC"/>
      </top>
      <bottom/>
      <diagonal/>
    </border>
    <border>
      <left style="thin">
        <color rgb="FFD9E2EC"/>
      </left>
      <right/>
      <top/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 style="thin">
        <color rgb="FFD9E2EC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1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8" borderId="1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21" applyNumberFormat="0" applyAlignment="0" applyProtection="0">
      <alignment vertical="center"/>
    </xf>
    <xf numFmtId="0" fontId="21" fillId="10" borderId="22" applyNumberFormat="0" applyAlignment="0" applyProtection="0">
      <alignment vertical="center"/>
    </xf>
    <xf numFmtId="0" fontId="22" fillId="10" borderId="21" applyNumberFormat="0" applyAlignment="0" applyProtection="0">
      <alignment vertical="center"/>
    </xf>
    <xf numFmtId="0" fontId="23" fillId="11" borderId="23" applyNumberFormat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5" fillId="0" borderId="25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0" fillId="0" borderId="0"/>
  </cellStyleXfs>
  <cellXfs count="40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vertical="center"/>
    </xf>
    <xf numFmtId="0" fontId="3" fillId="2" borderId="1" xfId="49" applyNumberFormat="1" applyFont="1" applyFill="1" applyBorder="1" applyAlignment="1">
      <alignment vertical="center" wrapText="1"/>
    </xf>
    <xf numFmtId="0" fontId="3" fillId="2" borderId="2" xfId="49" applyNumberFormat="1" applyFont="1" applyFill="1" applyBorder="1" applyAlignment="1">
      <alignment vertical="center" wrapText="1"/>
    </xf>
    <xf numFmtId="0" fontId="4" fillId="0" borderId="3" xfId="49" applyNumberFormat="1" applyFont="1" applyFill="1" applyBorder="1" applyAlignment="1">
      <alignment vertical="top" wrapText="1"/>
    </xf>
    <xf numFmtId="0" fontId="4" fillId="0" borderId="4" xfId="49" applyNumberFormat="1" applyFont="1" applyFill="1" applyBorder="1" applyAlignment="1">
      <alignment vertical="top" wrapText="1"/>
    </xf>
    <xf numFmtId="0" fontId="4" fillId="0" borderId="5" xfId="49" applyNumberFormat="1" applyFont="1" applyFill="1" applyBorder="1" applyAlignment="1">
      <alignment vertical="top" wrapText="1"/>
    </xf>
    <xf numFmtId="0" fontId="3" fillId="2" borderId="6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vertical="center" wrapText="1"/>
    </xf>
    <xf numFmtId="0" fontId="5" fillId="2" borderId="7" xfId="49" applyNumberFormat="1" applyFont="1" applyFill="1" applyBorder="1" applyAlignment="1">
      <alignment vertical="center" wrapText="1"/>
    </xf>
    <xf numFmtId="0" fontId="5" fillId="2" borderId="8" xfId="49" applyNumberFormat="1" applyFont="1" applyFill="1" applyBorder="1" applyAlignment="1">
      <alignment vertical="center" wrapText="1"/>
    </xf>
    <xf numFmtId="0" fontId="4" fillId="0" borderId="4" xfId="49" applyNumberFormat="1" applyFont="1" applyFill="1" applyBorder="1" applyAlignment="1">
      <alignment vertical="center" wrapText="1"/>
    </xf>
    <xf numFmtId="0" fontId="5" fillId="2" borderId="9" xfId="49" applyNumberFormat="1" applyFont="1" applyFill="1" applyBorder="1" applyAlignment="1">
      <alignment vertical="center" wrapText="1"/>
    </xf>
    <xf numFmtId="0" fontId="6" fillId="2" borderId="0" xfId="49" applyNumberFormat="1" applyFont="1" applyFill="1" applyBorder="1" applyAlignment="1">
      <alignment vertical="center"/>
    </xf>
    <xf numFmtId="0" fontId="7" fillId="0" borderId="0" xfId="49" applyNumberFormat="1" applyFont="1" applyFill="1" applyBorder="1" applyAlignment="1">
      <alignment vertical="center"/>
    </xf>
    <xf numFmtId="0" fontId="8" fillId="3" borderId="0" xfId="49" applyNumberFormat="1" applyFont="1" applyFill="1" applyBorder="1" applyAlignment="1">
      <alignment vertical="center" wrapText="1"/>
    </xf>
    <xf numFmtId="0" fontId="9" fillId="2" borderId="10" xfId="49" applyNumberFormat="1" applyFont="1" applyFill="1" applyBorder="1" applyAlignment="1">
      <alignment vertical="center"/>
    </xf>
    <xf numFmtId="0" fontId="9" fillId="2" borderId="11" xfId="49" applyNumberFormat="1" applyFont="1" applyFill="1" applyBorder="1" applyAlignment="1">
      <alignment vertical="center"/>
    </xf>
    <xf numFmtId="0" fontId="9" fillId="2" borderId="0" xfId="49" applyNumberFormat="1" applyFont="1" applyFill="1" applyBorder="1" applyAlignment="1">
      <alignment vertical="center"/>
    </xf>
    <xf numFmtId="0" fontId="7" fillId="3" borderId="12" xfId="49" applyNumberFormat="1" applyFont="1" applyFill="1" applyBorder="1" applyAlignment="1">
      <alignment vertical="center"/>
    </xf>
    <xf numFmtId="0" fontId="10" fillId="0" borderId="13" xfId="49" applyNumberFormat="1" applyFont="1" applyFill="1" applyBorder="1" applyAlignment="1">
      <alignment horizontal="center" vertical="center"/>
    </xf>
    <xf numFmtId="0" fontId="7" fillId="4" borderId="14" xfId="49" applyNumberFormat="1" applyFont="1" applyFill="1" applyBorder="1" applyAlignment="1">
      <alignment vertical="center" wrapText="1"/>
    </xf>
    <xf numFmtId="0" fontId="7" fillId="4" borderId="15" xfId="49" applyNumberFormat="1" applyFont="1" applyFill="1" applyBorder="1" applyAlignment="1">
      <alignment vertical="center" wrapText="1"/>
    </xf>
    <xf numFmtId="0" fontId="7" fillId="3" borderId="16" xfId="49" applyNumberFormat="1" applyFont="1" applyFill="1" applyBorder="1" applyAlignment="1">
      <alignment vertical="center"/>
    </xf>
    <xf numFmtId="0" fontId="10" fillId="0" borderId="14" xfId="49" applyNumberFormat="1" applyFont="1" applyFill="1" applyBorder="1" applyAlignment="1">
      <alignment horizontal="center" vertical="center"/>
    </xf>
    <xf numFmtId="0" fontId="7" fillId="4" borderId="11" xfId="49" applyNumberFormat="1" applyFont="1" applyFill="1" applyBorder="1" applyAlignment="1">
      <alignment vertical="center" wrapText="1"/>
    </xf>
    <xf numFmtId="0" fontId="7" fillId="5" borderId="3" xfId="49" applyNumberFormat="1" applyFont="1" applyFill="1" applyBorder="1" applyAlignment="1">
      <alignment vertical="center" wrapText="1"/>
    </xf>
    <xf numFmtId="0" fontId="7" fillId="0" borderId="3" xfId="49" applyNumberFormat="1" applyFont="1" applyFill="1" applyBorder="1" applyAlignment="1">
      <alignment vertical="center" wrapText="1"/>
    </xf>
    <xf numFmtId="0" fontId="7" fillId="6" borderId="4" xfId="49" applyNumberFormat="1" applyFont="1" applyFill="1" applyBorder="1" applyAlignment="1">
      <alignment vertical="center" wrapText="1"/>
    </xf>
    <xf numFmtId="0" fontId="7" fillId="0" borderId="4" xfId="49" applyNumberFormat="1" applyFont="1" applyFill="1" applyBorder="1" applyAlignment="1">
      <alignment vertical="center" wrapText="1"/>
    </xf>
    <xf numFmtId="0" fontId="7" fillId="7" borderId="5" xfId="49" applyNumberFormat="1" applyFont="1" applyFill="1" applyBorder="1" applyAlignment="1">
      <alignment vertical="center" wrapText="1"/>
    </xf>
    <xf numFmtId="0" fontId="7" fillId="0" borderId="5" xfId="49" applyNumberFormat="1" applyFont="1" applyFill="1" applyBorder="1" applyAlignment="1">
      <alignment vertical="center" wrapText="1"/>
    </xf>
    <xf numFmtId="0" fontId="7" fillId="4" borderId="5" xfId="49" applyNumberFormat="1" applyFont="1" applyFill="1" applyBorder="1" applyAlignment="1">
      <alignment vertical="center" wrapText="1"/>
    </xf>
    <xf numFmtId="0" fontId="7" fillId="4" borderId="16" xfId="49" applyNumberFormat="1" applyFont="1" applyFill="1" applyBorder="1" applyAlignment="1">
      <alignment vertical="center" wrapText="1"/>
    </xf>
    <xf numFmtId="0" fontId="7" fillId="4" borderId="0" xfId="49" applyNumberFormat="1" applyFont="1" applyFill="1" applyBorder="1" applyAlignment="1">
      <alignment vertical="center" wrapText="1"/>
    </xf>
    <xf numFmtId="0" fontId="7" fillId="4" borderId="17" xfId="49" applyNumberFormat="1" applyFont="1" applyFill="1" applyBorder="1" applyAlignment="1">
      <alignment vertical="center" wrapText="1"/>
    </xf>
    <xf numFmtId="0" fontId="7" fillId="4" borderId="3" xfId="49" applyNumberFormat="1" applyFont="1" applyFill="1" applyBorder="1" applyAlignment="1">
      <alignment vertical="center" wrapText="1"/>
    </xf>
    <xf numFmtId="0" fontId="7" fillId="4" borderId="1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2">
    <dxf>
      <font>
        <b val="1"/>
        <color rgb="FFDC2626"/>
      </font>
      <fill>
        <patternFill patternType="solid">
          <bgColor rgb="FFFDE8E8"/>
        </patternFill>
      </fill>
    </dxf>
    <dxf>
      <font>
        <b val="1"/>
        <color rgb="FFD97706"/>
      </font>
      <fill>
        <patternFill patternType="solid">
          <bgColor rgb="FFFFF4D6"/>
        </patternFill>
      </fill>
    </dxf>
    <dxf>
      <font>
        <b val="1"/>
        <color rgb="FF64748B"/>
      </font>
      <fill>
        <patternFill patternType="solid">
          <bgColor rgb="FFEEF2F7"/>
        </patternFill>
      </fill>
    </dxf>
    <dxf>
      <font>
        <b val="1"/>
        <color rgb="FF16803A"/>
      </font>
      <fill>
        <patternFill patternType="solid">
          <bgColor rgb="FFE8F7EE"/>
        </patternFill>
      </fill>
    </dxf>
    <dxf>
      <font>
        <b val="1"/>
        <color rgb="FF0878B9"/>
      </font>
      <fill>
        <patternFill patternType="solid">
          <bgColor rgb="FFEAF7F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rontendIssuesTable" displayName="FrontendIssuesTable" ref="A3:H38" totalsRowShown="0">
  <tableColumns count="8">
    <tableColumn id="1" name="编号"/>
    <tableColumn id="2" name="页面"/>
    <tableColumn id="3" name="模块"/>
    <tableColumn id="4" name="用户状态"/>
    <tableColumn id="5" name="优先级"/>
    <tableColumn id="6" name="当前问题"/>
    <tableColumn id="7" name="修改建议"/>
    <tableColumn id="8" name="验收标准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ackendIssuesTable" displayName="BackendIssuesTable" ref="A3:G38" totalsRowShown="0">
  <tableColumns count="7">
    <tableColumn id="1" name="编号"/>
    <tableColumn id="2" name="页面/模块"/>
    <tableColumn id="3" name="功能类别"/>
    <tableColumn id="4" name="优先级"/>
    <tableColumn id="5" name="当前问题"/>
    <tableColumn id="6" name="修改要求"/>
    <tableColumn id="7" name="验收标准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rderFieldsTable" displayName="OrderFieldsTable" ref="A3:F19" totalsRowShown="0">
  <tableColumns count="6">
    <tableColumn id="1" name="位置"/>
    <tableColumn id="2" name="字段"/>
    <tableColumn id="3" name="显示内容"/>
    <tableColumn id="4" name="示例"/>
    <tableColumn id="5" name="处理方式"/>
    <tableColumn id="6" name="业务用途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rderStatusesTable" displayName="OrderStatusesTable" ref="A22:E37" totalsRowShown="0">
  <tableColumns count="5">
    <tableColumn id="1" name="状态类型"/>
    <tableColumn id="2" name="英文状态"/>
    <tableColumn id="3" name="中文"/>
    <tableColumn id="4" name="定义"/>
    <tableColumn id="5" name="下一步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riorityPlanTable" displayName="PriorityPlanTable" ref="A3:F20" totalsRowShown="0">
  <tableColumns count="6">
    <tableColumn id="1" name="优先级"/>
    <tableColumn id="2" name="范围"/>
    <tableColumn id="3" name="开发事项"/>
    <tableColumn id="4" name="预期效果"/>
    <tableColumn id="5" name="建议负责人"/>
    <tableColumn id="6" name="状态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ffectCopyTable" displayName="EffectCopyTable" ref="A3:H47" totalsRowShown="0">
  <tableColumns count="8">
    <tableColumn id="1" name="编号"/>
    <tableColumn id="2" name="页面"/>
    <tableColumn id="3" name="区域"/>
    <tableColumn id="4" name="元素类型"/>
    <tableColumn id="5" name="原文案/当前文案"/>
    <tableColumn id="6" name="优化后文案"/>
    <tableColumn id="7" name="显示规则"/>
    <tableColumn id="8" name="开发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showGridLines="0" tabSelected="1" workbookViewId="0">
      <selection activeCell="B8" sqref="B8"/>
    </sheetView>
  </sheetViews>
  <sheetFormatPr defaultColWidth="9" defaultRowHeight="16.8" outlineLevelCol="7"/>
  <cols>
    <col min="1" max="1" width="18" customWidth="1"/>
    <col min="2" max="2" width="12" customWidth="1"/>
    <col min="3" max="3" width="34" customWidth="1"/>
    <col min="4" max="8" width="16" customWidth="1"/>
  </cols>
  <sheetData>
    <row r="1" ht="34" customHeight="1" spans="1:8">
      <c r="A1" s="15" t="s">
        <v>0</v>
      </c>
      <c r="B1" s="16"/>
      <c r="C1" s="16"/>
      <c r="D1" s="16"/>
      <c r="E1" s="16"/>
      <c r="F1" s="16"/>
      <c r="G1" s="16"/>
      <c r="H1" s="16"/>
    </row>
    <row r="2" ht="30" customHeight="1" spans="1:8">
      <c r="A2" s="17" t="s">
        <v>1</v>
      </c>
      <c r="B2" s="17" t="s">
        <v>1</v>
      </c>
      <c r="C2" s="17" t="s">
        <v>1</v>
      </c>
      <c r="D2" s="17" t="s">
        <v>1</v>
      </c>
      <c r="E2" s="17" t="s">
        <v>1</v>
      </c>
      <c r="F2" s="17" t="s">
        <v>1</v>
      </c>
      <c r="G2" s="17" t="s">
        <v>1</v>
      </c>
      <c r="H2" s="17" t="s">
        <v>1</v>
      </c>
    </row>
    <row r="3" spans="1:8">
      <c r="A3" s="16"/>
      <c r="B3" s="16"/>
      <c r="C3" s="16"/>
      <c r="D3" s="16"/>
      <c r="E3" s="16"/>
      <c r="F3" s="16"/>
      <c r="G3" s="16"/>
      <c r="H3" s="16"/>
    </row>
    <row r="4" spans="1:8">
      <c r="A4" s="18" t="s">
        <v>2</v>
      </c>
      <c r="B4" s="19" t="s">
        <v>3</v>
      </c>
      <c r="C4" s="16"/>
      <c r="D4" s="20" t="s">
        <v>4</v>
      </c>
      <c r="E4" s="20" t="s">
        <v>4</v>
      </c>
      <c r="F4" s="20" t="s">
        <v>4</v>
      </c>
      <c r="G4" s="20" t="s">
        <v>4</v>
      </c>
      <c r="H4" s="20" t="s">
        <v>4</v>
      </c>
    </row>
    <row r="5" ht="19.2" spans="1:8">
      <c r="A5" s="21" t="s">
        <v>5</v>
      </c>
      <c r="B5" s="22">
        <f>COUNTA(前端问题汇总!$A$4:$A$200)</f>
        <v>35</v>
      </c>
      <c r="C5" s="16"/>
      <c r="D5" s="23" t="s">
        <v>6</v>
      </c>
      <c r="E5" s="34" t="s">
        <v>6</v>
      </c>
      <c r="F5" s="34" t="s">
        <v>6</v>
      </c>
      <c r="G5" s="34" t="s">
        <v>6</v>
      </c>
      <c r="H5" s="35" t="s">
        <v>6</v>
      </c>
    </row>
    <row r="6" ht="19.2" spans="1:8">
      <c r="A6" s="21" t="s">
        <v>7</v>
      </c>
      <c r="B6" s="22">
        <f>COUNTA(后台订单管理!$A$4:$A$200)</f>
        <v>35</v>
      </c>
      <c r="C6" s="16"/>
      <c r="D6" s="24" t="s">
        <v>6</v>
      </c>
      <c r="E6" s="36" t="s">
        <v>6</v>
      </c>
      <c r="F6" s="36" t="s">
        <v>6</v>
      </c>
      <c r="G6" s="36" t="s">
        <v>6</v>
      </c>
      <c r="H6" s="37" t="s">
        <v>6</v>
      </c>
    </row>
    <row r="7" ht="19.2" spans="1:8">
      <c r="A7" s="21" t="s">
        <v>8</v>
      </c>
      <c r="B7" s="22">
        <f>COUNTIF(前端问题汇总!$E$4:$E$200,"P0")+COUNTIF(后台订单管理!$D$4:$D$200,"P0")</f>
        <v>26</v>
      </c>
      <c r="C7" s="16"/>
      <c r="D7" s="24" t="s">
        <v>6</v>
      </c>
      <c r="E7" s="36" t="s">
        <v>6</v>
      </c>
      <c r="F7" s="36" t="s">
        <v>6</v>
      </c>
      <c r="G7" s="36" t="s">
        <v>6</v>
      </c>
      <c r="H7" s="37" t="s">
        <v>6</v>
      </c>
    </row>
    <row r="8" ht="19.2" spans="1:8">
      <c r="A8" s="21" t="s">
        <v>9</v>
      </c>
      <c r="B8" s="22">
        <f>COUNTIF(前端问题汇总!$E$4:$E$200,"P1")+COUNTIF(后台订单管理!$D$4:$D$200,"P1")</f>
        <v>39</v>
      </c>
      <c r="C8" s="16"/>
      <c r="D8" s="24" t="s">
        <v>6</v>
      </c>
      <c r="E8" s="36" t="s">
        <v>6</v>
      </c>
      <c r="F8" s="36" t="s">
        <v>6</v>
      </c>
      <c r="G8" s="36" t="s">
        <v>6</v>
      </c>
      <c r="H8" s="37" t="s">
        <v>6</v>
      </c>
    </row>
    <row r="9" ht="19.2" spans="1:8">
      <c r="A9" s="21" t="s">
        <v>10</v>
      </c>
      <c r="B9" s="22">
        <f>COUNTIF(前端问题汇总!$E$4:$E$200,"P2")+COUNTIF(后台订单管理!$D$4:$D$200,"P2")</f>
        <v>5</v>
      </c>
      <c r="C9" s="16"/>
      <c r="D9" s="24" t="s">
        <v>6</v>
      </c>
      <c r="E9" s="36" t="s">
        <v>6</v>
      </c>
      <c r="F9" s="36" t="s">
        <v>6</v>
      </c>
      <c r="G9" s="36" t="s">
        <v>6</v>
      </c>
      <c r="H9" s="37" t="s">
        <v>6</v>
      </c>
    </row>
    <row r="10" ht="19.2" spans="1:8">
      <c r="A10" s="25" t="s">
        <v>11</v>
      </c>
      <c r="B10" s="26">
        <f>B5+B6</f>
        <v>70</v>
      </c>
      <c r="C10" s="16"/>
      <c r="D10" s="27" t="s">
        <v>6</v>
      </c>
      <c r="E10" s="38" t="s">
        <v>6</v>
      </c>
      <c r="F10" s="38" t="s">
        <v>6</v>
      </c>
      <c r="G10" s="38" t="s">
        <v>6</v>
      </c>
      <c r="H10" s="39" t="s">
        <v>6</v>
      </c>
    </row>
    <row r="11" spans="1:8">
      <c r="A11" s="16"/>
      <c r="B11" s="16"/>
      <c r="C11" s="16"/>
      <c r="D11" s="16"/>
      <c r="E11" s="16"/>
      <c r="F11" s="16"/>
      <c r="G11" s="16"/>
      <c r="H11" s="16"/>
    </row>
    <row r="12" spans="1:8">
      <c r="A12" s="16"/>
      <c r="B12" s="16"/>
      <c r="C12" s="16"/>
      <c r="D12" s="16"/>
      <c r="E12" s="16"/>
      <c r="F12" s="16"/>
      <c r="G12" s="16"/>
      <c r="H12" s="16"/>
    </row>
    <row r="13" spans="1:8">
      <c r="A13" s="20" t="s">
        <v>12</v>
      </c>
      <c r="B13" s="20" t="s">
        <v>13</v>
      </c>
      <c r="C13" s="20" t="s">
        <v>14</v>
      </c>
      <c r="D13" s="16" t="s">
        <v>15</v>
      </c>
      <c r="E13" s="16" t="s">
        <v>15</v>
      </c>
      <c r="F13" s="16" t="s">
        <v>15</v>
      </c>
      <c r="G13" s="16" t="s">
        <v>15</v>
      </c>
      <c r="H13" s="16" t="s">
        <v>15</v>
      </c>
    </row>
    <row r="14" ht="68" spans="1:8">
      <c r="A14" s="28" t="s">
        <v>16</v>
      </c>
      <c r="B14" s="29" t="s">
        <v>17</v>
      </c>
      <c r="C14" s="29" t="s">
        <v>18</v>
      </c>
      <c r="D14" s="16"/>
      <c r="E14" s="16"/>
      <c r="F14" s="16"/>
      <c r="G14" s="16"/>
      <c r="H14" s="16"/>
    </row>
    <row r="15" ht="51" spans="1:8">
      <c r="A15" s="30" t="s">
        <v>19</v>
      </c>
      <c r="B15" s="31" t="s">
        <v>20</v>
      </c>
      <c r="C15" s="31" t="s">
        <v>21</v>
      </c>
      <c r="D15" s="16"/>
      <c r="E15" s="16"/>
      <c r="F15" s="16"/>
      <c r="G15" s="16"/>
      <c r="H15" s="16"/>
    </row>
    <row r="16" ht="34" spans="1:8">
      <c r="A16" s="32" t="s">
        <v>22</v>
      </c>
      <c r="B16" s="33" t="s">
        <v>23</v>
      </c>
      <c r="C16" s="33" t="s">
        <v>24</v>
      </c>
      <c r="D16" s="16"/>
      <c r="E16" s="16"/>
      <c r="F16" s="16"/>
      <c r="G16" s="16"/>
      <c r="H16" s="16"/>
    </row>
  </sheetData>
  <mergeCells count="4">
    <mergeCell ref="A1:H1"/>
    <mergeCell ref="A2:H2"/>
    <mergeCell ref="D4:H4"/>
    <mergeCell ref="D5:H1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showGridLines="0" topLeftCell="A21" workbookViewId="0">
      <selection activeCell="A1" sqref="A1:H1"/>
    </sheetView>
  </sheetViews>
  <sheetFormatPr defaultColWidth="9" defaultRowHeight="16.8" outlineLevelCol="7"/>
  <cols>
    <col min="1" max="1" width="12" customWidth="1"/>
    <col min="2" max="2" width="14" customWidth="1"/>
    <col min="3" max="3" width="18" customWidth="1"/>
    <col min="4" max="4" width="12" customWidth="1"/>
    <col min="5" max="5" width="9" customWidth="1"/>
    <col min="6" max="6" width="38" customWidth="1"/>
    <col min="7" max="7" width="44" customWidth="1"/>
    <col min="8" max="8" width="42" customWidth="1"/>
  </cols>
  <sheetData>
    <row r="1" ht="34" customHeight="1" spans="1:8">
      <c r="A1" s="1" t="s">
        <v>25</v>
      </c>
      <c r="B1" s="9"/>
      <c r="C1" s="9"/>
      <c r="D1" s="9"/>
      <c r="E1" s="9"/>
      <c r="F1" s="9"/>
      <c r="G1" s="9"/>
      <c r="H1" s="9"/>
    </row>
    <row r="2" ht="30" customHeight="1" spans="1:8">
      <c r="A2" s="10" t="s">
        <v>26</v>
      </c>
      <c r="B2" s="10" t="s">
        <v>26</v>
      </c>
      <c r="C2" s="10" t="s">
        <v>26</v>
      </c>
      <c r="D2" s="10" t="s">
        <v>26</v>
      </c>
      <c r="E2" s="10" t="s">
        <v>26</v>
      </c>
      <c r="F2" s="10" t="s">
        <v>26</v>
      </c>
      <c r="G2" s="10" t="s">
        <v>26</v>
      </c>
      <c r="H2" s="10" t="s">
        <v>26</v>
      </c>
    </row>
    <row r="3" ht="30" customHeight="1" spans="1:8">
      <c r="A3" s="11" t="s">
        <v>27</v>
      </c>
      <c r="B3" s="12" t="s">
        <v>28</v>
      </c>
      <c r="C3" s="12" t="s">
        <v>29</v>
      </c>
      <c r="D3" s="12" t="s">
        <v>30</v>
      </c>
      <c r="E3" s="12" t="s">
        <v>12</v>
      </c>
      <c r="F3" s="12" t="s">
        <v>31</v>
      </c>
      <c r="G3" s="12" t="s">
        <v>32</v>
      </c>
      <c r="H3" s="14" t="s">
        <v>33</v>
      </c>
    </row>
    <row r="4" ht="45" customHeight="1" spans="1:8">
      <c r="A4" s="13" t="s">
        <v>34</v>
      </c>
      <c r="B4" s="13" t="s">
        <v>35</v>
      </c>
      <c r="C4" s="13" t="s">
        <v>36</v>
      </c>
      <c r="D4" s="13" t="s">
        <v>37</v>
      </c>
      <c r="E4" s="13" t="s">
        <v>19</v>
      </c>
      <c r="F4" s="13" t="s">
        <v>38</v>
      </c>
      <c r="G4" s="13" t="s">
        <v>39</v>
      </c>
      <c r="H4" s="13" t="s">
        <v>40</v>
      </c>
    </row>
    <row r="5" ht="45" customHeight="1" spans="1:8">
      <c r="A5" s="13" t="s">
        <v>41</v>
      </c>
      <c r="B5" s="13" t="s">
        <v>35</v>
      </c>
      <c r="C5" s="13" t="s">
        <v>36</v>
      </c>
      <c r="D5" s="13" t="s">
        <v>37</v>
      </c>
      <c r="E5" s="13" t="s">
        <v>19</v>
      </c>
      <c r="F5" s="13" t="s">
        <v>42</v>
      </c>
      <c r="G5" s="13" t="s">
        <v>43</v>
      </c>
      <c r="H5" s="13" t="s">
        <v>44</v>
      </c>
    </row>
    <row r="6" ht="45" customHeight="1" spans="1:8">
      <c r="A6" s="13" t="s">
        <v>45</v>
      </c>
      <c r="B6" s="13" t="s">
        <v>35</v>
      </c>
      <c r="C6" s="13" t="s">
        <v>36</v>
      </c>
      <c r="D6" s="13" t="s">
        <v>46</v>
      </c>
      <c r="E6" s="13" t="s">
        <v>19</v>
      </c>
      <c r="F6" s="13" t="s">
        <v>47</v>
      </c>
      <c r="G6" s="13" t="s">
        <v>48</v>
      </c>
      <c r="H6" s="13" t="s">
        <v>49</v>
      </c>
    </row>
    <row r="7" ht="45" customHeight="1" spans="1:8">
      <c r="A7" s="13" t="s">
        <v>50</v>
      </c>
      <c r="B7" s="13" t="s">
        <v>35</v>
      </c>
      <c r="C7" s="13" t="s">
        <v>51</v>
      </c>
      <c r="D7" s="13" t="s">
        <v>52</v>
      </c>
      <c r="E7" s="13" t="s">
        <v>16</v>
      </c>
      <c r="F7" s="13" t="s">
        <v>53</v>
      </c>
      <c r="G7" s="13" t="s">
        <v>54</v>
      </c>
      <c r="H7" s="13" t="s">
        <v>55</v>
      </c>
    </row>
    <row r="8" ht="45" customHeight="1" spans="1:8">
      <c r="A8" s="13" t="s">
        <v>56</v>
      </c>
      <c r="B8" s="13" t="s">
        <v>35</v>
      </c>
      <c r="C8" s="13" t="s">
        <v>51</v>
      </c>
      <c r="D8" s="13" t="s">
        <v>52</v>
      </c>
      <c r="E8" s="13" t="s">
        <v>16</v>
      </c>
      <c r="F8" s="13" t="s">
        <v>57</v>
      </c>
      <c r="G8" s="13" t="s">
        <v>58</v>
      </c>
      <c r="H8" s="13" t="s">
        <v>59</v>
      </c>
    </row>
    <row r="9" ht="45" customHeight="1" spans="1:8">
      <c r="A9" s="13" t="s">
        <v>60</v>
      </c>
      <c r="B9" s="13" t="s">
        <v>35</v>
      </c>
      <c r="C9" s="13" t="s">
        <v>51</v>
      </c>
      <c r="D9" s="13" t="s">
        <v>52</v>
      </c>
      <c r="E9" s="13" t="s">
        <v>19</v>
      </c>
      <c r="F9" s="13" t="s">
        <v>61</v>
      </c>
      <c r="G9" s="13" t="s">
        <v>62</v>
      </c>
      <c r="H9" s="13" t="s">
        <v>63</v>
      </c>
    </row>
    <row r="10" ht="45" customHeight="1" spans="1:8">
      <c r="A10" s="13" t="s">
        <v>64</v>
      </c>
      <c r="B10" s="13" t="s">
        <v>35</v>
      </c>
      <c r="C10" s="13" t="s">
        <v>65</v>
      </c>
      <c r="D10" s="13" t="s">
        <v>52</v>
      </c>
      <c r="E10" s="13" t="s">
        <v>16</v>
      </c>
      <c r="F10" s="13" t="s">
        <v>66</v>
      </c>
      <c r="G10" s="13" t="s">
        <v>67</v>
      </c>
      <c r="H10" s="13" t="s">
        <v>68</v>
      </c>
    </row>
    <row r="11" ht="45" customHeight="1" spans="1:8">
      <c r="A11" s="13" t="s">
        <v>69</v>
      </c>
      <c r="B11" s="13" t="s">
        <v>35</v>
      </c>
      <c r="C11" s="13" t="s">
        <v>70</v>
      </c>
      <c r="D11" s="13" t="s">
        <v>52</v>
      </c>
      <c r="E11" s="13" t="s">
        <v>19</v>
      </c>
      <c r="F11" s="13" t="s">
        <v>71</v>
      </c>
      <c r="G11" s="13" t="s">
        <v>72</v>
      </c>
      <c r="H11" s="13" t="s">
        <v>73</v>
      </c>
    </row>
    <row r="12" ht="45" customHeight="1" spans="1:8">
      <c r="A12" s="13" t="s">
        <v>74</v>
      </c>
      <c r="B12" s="13" t="s">
        <v>35</v>
      </c>
      <c r="C12" s="13" t="s">
        <v>75</v>
      </c>
      <c r="D12" s="13" t="s">
        <v>52</v>
      </c>
      <c r="E12" s="13" t="s">
        <v>16</v>
      </c>
      <c r="F12" s="13" t="s">
        <v>76</v>
      </c>
      <c r="G12" s="13" t="s">
        <v>77</v>
      </c>
      <c r="H12" s="13" t="s">
        <v>78</v>
      </c>
    </row>
    <row r="13" ht="45" customHeight="1" spans="1:8">
      <c r="A13" s="13" t="s">
        <v>79</v>
      </c>
      <c r="B13" s="13" t="s">
        <v>35</v>
      </c>
      <c r="C13" s="13" t="s">
        <v>75</v>
      </c>
      <c r="D13" s="13" t="s">
        <v>52</v>
      </c>
      <c r="E13" s="13" t="s">
        <v>19</v>
      </c>
      <c r="F13" s="13" t="s">
        <v>80</v>
      </c>
      <c r="G13" s="13" t="s">
        <v>81</v>
      </c>
      <c r="H13" s="13" t="s">
        <v>82</v>
      </c>
    </row>
    <row r="14" ht="45" customHeight="1" spans="1:8">
      <c r="A14" s="13" t="s">
        <v>83</v>
      </c>
      <c r="B14" s="13" t="s">
        <v>35</v>
      </c>
      <c r="C14" s="13" t="s">
        <v>84</v>
      </c>
      <c r="D14" s="13" t="s">
        <v>52</v>
      </c>
      <c r="E14" s="13" t="s">
        <v>16</v>
      </c>
      <c r="F14" s="13" t="s">
        <v>85</v>
      </c>
      <c r="G14" s="13" t="s">
        <v>86</v>
      </c>
      <c r="H14" s="13" t="s">
        <v>87</v>
      </c>
    </row>
    <row r="15" ht="45" customHeight="1" spans="1:8">
      <c r="A15" s="13" t="s">
        <v>88</v>
      </c>
      <c r="B15" s="13" t="s">
        <v>35</v>
      </c>
      <c r="C15" s="13" t="s">
        <v>84</v>
      </c>
      <c r="D15" s="13" t="s">
        <v>52</v>
      </c>
      <c r="E15" s="13" t="s">
        <v>19</v>
      </c>
      <c r="F15" s="13" t="s">
        <v>89</v>
      </c>
      <c r="G15" s="13" t="s">
        <v>90</v>
      </c>
      <c r="H15" s="13" t="s">
        <v>91</v>
      </c>
    </row>
    <row r="16" ht="45" customHeight="1" spans="1:8">
      <c r="A16" s="13" t="s">
        <v>92</v>
      </c>
      <c r="B16" s="13" t="s">
        <v>35</v>
      </c>
      <c r="C16" s="13" t="s">
        <v>93</v>
      </c>
      <c r="D16" s="13" t="s">
        <v>52</v>
      </c>
      <c r="E16" s="13" t="s">
        <v>22</v>
      </c>
      <c r="F16" s="13" t="s">
        <v>94</v>
      </c>
      <c r="G16" s="13" t="s">
        <v>95</v>
      </c>
      <c r="H16" s="13" t="s">
        <v>96</v>
      </c>
    </row>
    <row r="17" ht="45" customHeight="1" spans="1:8">
      <c r="A17" s="13" t="s">
        <v>97</v>
      </c>
      <c r="B17" s="13" t="s">
        <v>98</v>
      </c>
      <c r="C17" s="13" t="s">
        <v>99</v>
      </c>
      <c r="D17" s="13" t="s">
        <v>37</v>
      </c>
      <c r="E17" s="13" t="s">
        <v>19</v>
      </c>
      <c r="F17" s="13" t="s">
        <v>100</v>
      </c>
      <c r="G17" s="13" t="s">
        <v>101</v>
      </c>
      <c r="H17" s="13" t="s">
        <v>102</v>
      </c>
    </row>
    <row r="18" ht="45" customHeight="1" spans="1:8">
      <c r="A18" s="13" t="s">
        <v>103</v>
      </c>
      <c r="B18" s="13" t="s">
        <v>98</v>
      </c>
      <c r="C18" s="13" t="s">
        <v>104</v>
      </c>
      <c r="D18" s="13" t="s">
        <v>37</v>
      </c>
      <c r="E18" s="13" t="s">
        <v>22</v>
      </c>
      <c r="F18" s="13" t="s">
        <v>105</v>
      </c>
      <c r="G18" s="13" t="s">
        <v>106</v>
      </c>
      <c r="H18" s="13" t="s">
        <v>107</v>
      </c>
    </row>
    <row r="19" ht="45" customHeight="1" spans="1:8">
      <c r="A19" s="13" t="s">
        <v>108</v>
      </c>
      <c r="B19" s="13" t="s">
        <v>98</v>
      </c>
      <c r="C19" s="13" t="s">
        <v>109</v>
      </c>
      <c r="D19" s="13" t="s">
        <v>37</v>
      </c>
      <c r="E19" s="13" t="s">
        <v>16</v>
      </c>
      <c r="F19" s="13" t="s">
        <v>110</v>
      </c>
      <c r="G19" s="13" t="s">
        <v>111</v>
      </c>
      <c r="H19" s="13" t="s">
        <v>112</v>
      </c>
    </row>
    <row r="20" ht="45" customHeight="1" spans="1:8">
      <c r="A20" s="13" t="s">
        <v>113</v>
      </c>
      <c r="B20" s="13" t="s">
        <v>98</v>
      </c>
      <c r="C20" s="13" t="s">
        <v>109</v>
      </c>
      <c r="D20" s="13" t="s">
        <v>37</v>
      </c>
      <c r="E20" s="13" t="s">
        <v>19</v>
      </c>
      <c r="F20" s="13" t="s">
        <v>114</v>
      </c>
      <c r="G20" s="13" t="s">
        <v>115</v>
      </c>
      <c r="H20" s="13" t="s">
        <v>116</v>
      </c>
    </row>
    <row r="21" ht="45" customHeight="1" spans="1:8">
      <c r="A21" s="13" t="s">
        <v>117</v>
      </c>
      <c r="B21" s="13" t="s">
        <v>98</v>
      </c>
      <c r="C21" s="13" t="s">
        <v>118</v>
      </c>
      <c r="D21" s="13" t="s">
        <v>37</v>
      </c>
      <c r="E21" s="13" t="s">
        <v>19</v>
      </c>
      <c r="F21" s="13" t="s">
        <v>119</v>
      </c>
      <c r="G21" s="13" t="s">
        <v>120</v>
      </c>
      <c r="H21" s="13" t="s">
        <v>121</v>
      </c>
    </row>
    <row r="22" ht="45" customHeight="1" spans="1:8">
      <c r="A22" s="13" t="s">
        <v>122</v>
      </c>
      <c r="B22" s="13" t="s">
        <v>98</v>
      </c>
      <c r="C22" s="13" t="s">
        <v>123</v>
      </c>
      <c r="D22" s="13" t="s">
        <v>37</v>
      </c>
      <c r="E22" s="13" t="s">
        <v>16</v>
      </c>
      <c r="F22" s="13" t="s">
        <v>124</v>
      </c>
      <c r="G22" s="13" t="s">
        <v>125</v>
      </c>
      <c r="H22" s="13" t="s">
        <v>126</v>
      </c>
    </row>
    <row r="23" ht="45" customHeight="1" spans="1:8">
      <c r="A23" s="13" t="s">
        <v>127</v>
      </c>
      <c r="B23" s="13" t="s">
        <v>98</v>
      </c>
      <c r="C23" s="13" t="s">
        <v>128</v>
      </c>
      <c r="D23" s="13" t="s">
        <v>37</v>
      </c>
      <c r="E23" s="13" t="s">
        <v>19</v>
      </c>
      <c r="F23" s="13" t="s">
        <v>129</v>
      </c>
      <c r="G23" s="13" t="s">
        <v>101</v>
      </c>
      <c r="H23" s="13" t="s">
        <v>130</v>
      </c>
    </row>
    <row r="24" ht="45" customHeight="1" spans="1:8">
      <c r="A24" s="13" t="s">
        <v>131</v>
      </c>
      <c r="B24" s="13" t="s">
        <v>98</v>
      </c>
      <c r="C24" s="13" t="s">
        <v>132</v>
      </c>
      <c r="D24" s="13" t="s">
        <v>37</v>
      </c>
      <c r="E24" s="13" t="s">
        <v>19</v>
      </c>
      <c r="F24" s="13" t="s">
        <v>133</v>
      </c>
      <c r="G24" s="13" t="s">
        <v>134</v>
      </c>
      <c r="H24" s="13" t="s">
        <v>135</v>
      </c>
    </row>
    <row r="25" ht="45" customHeight="1" spans="1:8">
      <c r="A25" s="13" t="s">
        <v>136</v>
      </c>
      <c r="B25" s="13" t="s">
        <v>98</v>
      </c>
      <c r="C25" s="13" t="s">
        <v>137</v>
      </c>
      <c r="D25" s="13" t="s">
        <v>37</v>
      </c>
      <c r="E25" s="13" t="s">
        <v>19</v>
      </c>
      <c r="F25" s="13" t="s">
        <v>138</v>
      </c>
      <c r="G25" s="13" t="s">
        <v>139</v>
      </c>
      <c r="H25" s="13" t="s">
        <v>140</v>
      </c>
    </row>
    <row r="26" ht="45" customHeight="1" spans="1:8">
      <c r="A26" s="13" t="s">
        <v>141</v>
      </c>
      <c r="B26" s="13" t="s">
        <v>98</v>
      </c>
      <c r="C26" s="13" t="s">
        <v>142</v>
      </c>
      <c r="D26" s="13" t="s">
        <v>37</v>
      </c>
      <c r="E26" s="13" t="s">
        <v>19</v>
      </c>
      <c r="F26" s="13" t="s">
        <v>143</v>
      </c>
      <c r="G26" s="13" t="s">
        <v>144</v>
      </c>
      <c r="H26" s="13" t="s">
        <v>145</v>
      </c>
    </row>
    <row r="27" ht="45" customHeight="1" spans="1:8">
      <c r="A27" s="13" t="s">
        <v>146</v>
      </c>
      <c r="B27" s="13" t="s">
        <v>98</v>
      </c>
      <c r="C27" s="13" t="s">
        <v>147</v>
      </c>
      <c r="D27" s="13" t="s">
        <v>37</v>
      </c>
      <c r="E27" s="13" t="s">
        <v>22</v>
      </c>
      <c r="F27" s="13" t="s">
        <v>148</v>
      </c>
      <c r="G27" s="13" t="s">
        <v>149</v>
      </c>
      <c r="H27" s="13" t="s">
        <v>150</v>
      </c>
    </row>
    <row r="28" ht="45" customHeight="1" spans="1:8">
      <c r="A28" s="13" t="s">
        <v>151</v>
      </c>
      <c r="B28" s="13" t="s">
        <v>152</v>
      </c>
      <c r="C28" s="13" t="s">
        <v>153</v>
      </c>
      <c r="D28" s="13" t="s">
        <v>46</v>
      </c>
      <c r="E28" s="13" t="s">
        <v>16</v>
      </c>
      <c r="F28" s="13" t="s">
        <v>154</v>
      </c>
      <c r="G28" s="13" t="s">
        <v>155</v>
      </c>
      <c r="H28" s="13" t="s">
        <v>156</v>
      </c>
    </row>
    <row r="29" ht="45" customHeight="1" spans="1:8">
      <c r="A29" s="13" t="s">
        <v>157</v>
      </c>
      <c r="B29" s="13" t="s">
        <v>152</v>
      </c>
      <c r="C29" s="13" t="s">
        <v>153</v>
      </c>
      <c r="D29" s="13" t="s">
        <v>46</v>
      </c>
      <c r="E29" s="13" t="s">
        <v>19</v>
      </c>
      <c r="F29" s="13" t="s">
        <v>158</v>
      </c>
      <c r="G29" s="13" t="s">
        <v>159</v>
      </c>
      <c r="H29" s="13" t="s">
        <v>160</v>
      </c>
    </row>
    <row r="30" ht="45" customHeight="1" spans="1:8">
      <c r="A30" s="13" t="s">
        <v>161</v>
      </c>
      <c r="B30" s="13" t="s">
        <v>152</v>
      </c>
      <c r="C30" s="13" t="s">
        <v>162</v>
      </c>
      <c r="D30" s="13" t="s">
        <v>46</v>
      </c>
      <c r="E30" s="13" t="s">
        <v>19</v>
      </c>
      <c r="F30" s="13" t="s">
        <v>163</v>
      </c>
      <c r="G30" s="13" t="s">
        <v>164</v>
      </c>
      <c r="H30" s="13" t="s">
        <v>165</v>
      </c>
    </row>
    <row r="31" ht="45" customHeight="1" spans="1:8">
      <c r="A31" s="13" t="s">
        <v>166</v>
      </c>
      <c r="B31" s="13" t="s">
        <v>152</v>
      </c>
      <c r="C31" s="13" t="s">
        <v>162</v>
      </c>
      <c r="D31" s="13" t="s">
        <v>46</v>
      </c>
      <c r="E31" s="13" t="s">
        <v>19</v>
      </c>
      <c r="F31" s="13" t="s">
        <v>167</v>
      </c>
      <c r="G31" s="13" t="s">
        <v>168</v>
      </c>
      <c r="H31" s="13" t="s">
        <v>169</v>
      </c>
    </row>
    <row r="32" ht="45" customHeight="1" spans="1:8">
      <c r="A32" s="13" t="s">
        <v>170</v>
      </c>
      <c r="B32" s="13" t="s">
        <v>152</v>
      </c>
      <c r="C32" s="13" t="s">
        <v>171</v>
      </c>
      <c r="D32" s="13" t="s">
        <v>46</v>
      </c>
      <c r="E32" s="13" t="s">
        <v>22</v>
      </c>
      <c r="F32" s="13" t="s">
        <v>172</v>
      </c>
      <c r="G32" s="13" t="s">
        <v>173</v>
      </c>
      <c r="H32" s="13" t="s">
        <v>174</v>
      </c>
    </row>
    <row r="33" ht="45" customHeight="1" spans="1:8">
      <c r="A33" s="13" t="s">
        <v>175</v>
      </c>
      <c r="B33" s="13" t="s">
        <v>152</v>
      </c>
      <c r="C33" s="13" t="s">
        <v>176</v>
      </c>
      <c r="D33" s="13" t="s">
        <v>46</v>
      </c>
      <c r="E33" s="13" t="s">
        <v>19</v>
      </c>
      <c r="F33" s="13" t="s">
        <v>177</v>
      </c>
      <c r="G33" s="13" t="s">
        <v>178</v>
      </c>
      <c r="H33" s="13" t="s">
        <v>179</v>
      </c>
    </row>
    <row r="34" ht="45" customHeight="1" spans="1:8">
      <c r="A34" s="13" t="s">
        <v>180</v>
      </c>
      <c r="B34" s="13" t="s">
        <v>152</v>
      </c>
      <c r="C34" s="13" t="s">
        <v>181</v>
      </c>
      <c r="D34" s="13" t="s">
        <v>46</v>
      </c>
      <c r="E34" s="13" t="s">
        <v>19</v>
      </c>
      <c r="F34" s="13" t="s">
        <v>182</v>
      </c>
      <c r="G34" s="13" t="s">
        <v>183</v>
      </c>
      <c r="H34" s="13" t="s">
        <v>184</v>
      </c>
    </row>
    <row r="35" ht="45" customHeight="1" spans="1:8">
      <c r="A35" s="13" t="s">
        <v>185</v>
      </c>
      <c r="B35" s="13" t="s">
        <v>152</v>
      </c>
      <c r="C35" s="13" t="s">
        <v>186</v>
      </c>
      <c r="D35" s="13" t="s">
        <v>46</v>
      </c>
      <c r="E35" s="13" t="s">
        <v>19</v>
      </c>
      <c r="F35" s="13" t="s">
        <v>187</v>
      </c>
      <c r="G35" s="13" t="s">
        <v>188</v>
      </c>
      <c r="H35" s="13" t="s">
        <v>189</v>
      </c>
    </row>
    <row r="36" ht="45" customHeight="1" spans="1:8">
      <c r="A36" s="13" t="s">
        <v>190</v>
      </c>
      <c r="B36" s="13" t="s">
        <v>191</v>
      </c>
      <c r="C36" s="13" t="s">
        <v>192</v>
      </c>
      <c r="D36" s="13" t="s">
        <v>52</v>
      </c>
      <c r="E36" s="13" t="s">
        <v>19</v>
      </c>
      <c r="F36" s="13" t="s">
        <v>193</v>
      </c>
      <c r="G36" s="13" t="s">
        <v>194</v>
      </c>
      <c r="H36" s="13" t="s">
        <v>195</v>
      </c>
    </row>
    <row r="37" ht="45" customHeight="1" spans="1:8">
      <c r="A37" s="13" t="s">
        <v>196</v>
      </c>
      <c r="B37" s="13" t="s">
        <v>191</v>
      </c>
      <c r="C37" s="13" t="s">
        <v>197</v>
      </c>
      <c r="D37" s="13" t="s">
        <v>52</v>
      </c>
      <c r="E37" s="13" t="s">
        <v>16</v>
      </c>
      <c r="F37" s="13" t="s">
        <v>198</v>
      </c>
      <c r="G37" s="13" t="s">
        <v>199</v>
      </c>
      <c r="H37" s="13" t="s">
        <v>200</v>
      </c>
    </row>
    <row r="38" ht="45" customHeight="1" spans="1:8">
      <c r="A38" s="13" t="s">
        <v>201</v>
      </c>
      <c r="B38" s="13" t="s">
        <v>191</v>
      </c>
      <c r="C38" s="13" t="s">
        <v>202</v>
      </c>
      <c r="D38" s="13" t="s">
        <v>52</v>
      </c>
      <c r="E38" s="13" t="s">
        <v>19</v>
      </c>
      <c r="F38" s="13" t="s">
        <v>203</v>
      </c>
      <c r="G38" s="13" t="s">
        <v>204</v>
      </c>
      <c r="H38" s="13" t="s">
        <v>205</v>
      </c>
    </row>
  </sheetData>
  <mergeCells count="2">
    <mergeCell ref="A1:H1"/>
    <mergeCell ref="A2:H2"/>
  </mergeCells>
  <conditionalFormatting sqref="E4:E38">
    <cfRule type="containsText" dxfId="0" priority="1" operator="between" text="P0">
      <formula>NOT(ISERROR(SEARCH("P0",E4)))</formula>
    </cfRule>
    <cfRule type="containsText" dxfId="1" priority="2" operator="between" text="P1">
      <formula>NOT(ISERROR(SEARCH("P1",E4)))</formula>
    </cfRule>
    <cfRule type="containsText" dxfId="2" priority="3" operator="between" text="P2">
      <formula>NOT(ISERROR(SEARCH("P2",E4)))</formula>
    </cfRule>
  </conditionalFormatting>
  <dataValidations count="1">
    <dataValidation type="list" sqref="E4:E38">
      <formula1>"P0,P1,P2"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showGridLines="0" topLeftCell="A18" workbookViewId="0">
      <selection activeCell="A1" sqref="A1:G1"/>
    </sheetView>
  </sheetViews>
  <sheetFormatPr defaultColWidth="9" defaultRowHeight="16.8" outlineLevelCol="6"/>
  <cols>
    <col min="1" max="1" width="12" customWidth="1"/>
    <col min="2" max="3" width="18" customWidth="1"/>
    <col min="4" max="4" width="9" customWidth="1"/>
    <col min="5" max="5" width="40" customWidth="1"/>
    <col min="6" max="6" width="46" customWidth="1"/>
    <col min="7" max="7" width="42" customWidth="1"/>
  </cols>
  <sheetData>
    <row r="1" ht="34" customHeight="1" spans="1:7">
      <c r="A1" s="1" t="s">
        <v>206</v>
      </c>
      <c r="B1" s="9"/>
      <c r="C1" s="9"/>
      <c r="D1" s="9"/>
      <c r="E1" s="9"/>
      <c r="F1" s="9"/>
      <c r="G1" s="9"/>
    </row>
    <row r="2" ht="30" customHeight="1" spans="1:7">
      <c r="A2" s="10" t="s">
        <v>207</v>
      </c>
      <c r="B2" s="10" t="s">
        <v>207</v>
      </c>
      <c r="C2" s="10" t="s">
        <v>207</v>
      </c>
      <c r="D2" s="10" t="s">
        <v>207</v>
      </c>
      <c r="E2" s="10" t="s">
        <v>207</v>
      </c>
      <c r="F2" s="10" t="s">
        <v>207</v>
      </c>
      <c r="G2" s="10" t="s">
        <v>207</v>
      </c>
    </row>
    <row r="3" ht="30" customHeight="1" spans="1:7">
      <c r="A3" s="11" t="s">
        <v>27</v>
      </c>
      <c r="B3" s="12" t="s">
        <v>208</v>
      </c>
      <c r="C3" s="12" t="s">
        <v>209</v>
      </c>
      <c r="D3" s="12" t="s">
        <v>12</v>
      </c>
      <c r="E3" s="12" t="s">
        <v>31</v>
      </c>
      <c r="F3" s="12" t="s">
        <v>210</v>
      </c>
      <c r="G3" s="14" t="s">
        <v>33</v>
      </c>
    </row>
    <row r="4" ht="48" customHeight="1" spans="1:7">
      <c r="A4" s="13" t="s">
        <v>211</v>
      </c>
      <c r="B4" s="13" t="s">
        <v>212</v>
      </c>
      <c r="C4" s="13" t="s">
        <v>213</v>
      </c>
      <c r="D4" s="13" t="s">
        <v>16</v>
      </c>
      <c r="E4" s="13" t="s">
        <v>214</v>
      </c>
      <c r="F4" s="13" t="s">
        <v>215</v>
      </c>
      <c r="G4" s="13" t="s">
        <v>216</v>
      </c>
    </row>
    <row r="5" ht="48" customHeight="1" spans="1:7">
      <c r="A5" s="13" t="s">
        <v>217</v>
      </c>
      <c r="B5" s="13" t="s">
        <v>212</v>
      </c>
      <c r="C5" s="13" t="s">
        <v>218</v>
      </c>
      <c r="D5" s="13" t="s">
        <v>16</v>
      </c>
      <c r="E5" s="13" t="s">
        <v>219</v>
      </c>
      <c r="F5" s="13" t="s">
        <v>220</v>
      </c>
      <c r="G5" s="13" t="s">
        <v>221</v>
      </c>
    </row>
    <row r="6" ht="48" customHeight="1" spans="1:7">
      <c r="A6" s="13" t="s">
        <v>222</v>
      </c>
      <c r="B6" s="13" t="s">
        <v>212</v>
      </c>
      <c r="C6" s="13" t="s">
        <v>223</v>
      </c>
      <c r="D6" s="13" t="s">
        <v>19</v>
      </c>
      <c r="E6" s="13" t="s">
        <v>224</v>
      </c>
      <c r="F6" s="13" t="s">
        <v>225</v>
      </c>
      <c r="G6" s="13" t="s">
        <v>226</v>
      </c>
    </row>
    <row r="7" ht="48" customHeight="1" spans="1:7">
      <c r="A7" s="13" t="s">
        <v>227</v>
      </c>
      <c r="B7" s="13" t="s">
        <v>212</v>
      </c>
      <c r="C7" s="13" t="s">
        <v>228</v>
      </c>
      <c r="D7" s="13" t="s">
        <v>19</v>
      </c>
      <c r="E7" s="13" t="s">
        <v>229</v>
      </c>
      <c r="F7" s="13" t="s">
        <v>230</v>
      </c>
      <c r="G7" s="13" t="s">
        <v>231</v>
      </c>
    </row>
    <row r="8" ht="48" customHeight="1" spans="1:7">
      <c r="A8" s="13" t="s">
        <v>232</v>
      </c>
      <c r="B8" s="13" t="s">
        <v>212</v>
      </c>
      <c r="C8" s="13" t="s">
        <v>233</v>
      </c>
      <c r="D8" s="13" t="s">
        <v>16</v>
      </c>
      <c r="E8" s="13" t="s">
        <v>234</v>
      </c>
      <c r="F8" s="13" t="s">
        <v>235</v>
      </c>
      <c r="G8" s="13" t="s">
        <v>236</v>
      </c>
    </row>
    <row r="9" ht="48" customHeight="1" spans="1:7">
      <c r="A9" s="13" t="s">
        <v>237</v>
      </c>
      <c r="B9" s="13" t="s">
        <v>212</v>
      </c>
      <c r="C9" s="13" t="s">
        <v>238</v>
      </c>
      <c r="D9" s="13" t="s">
        <v>16</v>
      </c>
      <c r="E9" s="13" t="s">
        <v>239</v>
      </c>
      <c r="F9" s="13" t="s">
        <v>240</v>
      </c>
      <c r="G9" s="13" t="s">
        <v>241</v>
      </c>
    </row>
    <row r="10" ht="48" customHeight="1" spans="1:7">
      <c r="A10" s="13" t="s">
        <v>242</v>
      </c>
      <c r="B10" s="13" t="s">
        <v>243</v>
      </c>
      <c r="C10" s="13" t="s">
        <v>244</v>
      </c>
      <c r="D10" s="13" t="s">
        <v>16</v>
      </c>
      <c r="E10" s="13" t="s">
        <v>245</v>
      </c>
      <c r="F10" s="13" t="s">
        <v>246</v>
      </c>
      <c r="G10" s="13" t="s">
        <v>247</v>
      </c>
    </row>
    <row r="11" ht="48" customHeight="1" spans="1:7">
      <c r="A11" s="13" t="s">
        <v>248</v>
      </c>
      <c r="B11" s="13" t="s">
        <v>243</v>
      </c>
      <c r="C11" s="13" t="s">
        <v>249</v>
      </c>
      <c r="D11" s="13" t="s">
        <v>16</v>
      </c>
      <c r="E11" s="13" t="s">
        <v>250</v>
      </c>
      <c r="F11" s="13" t="s">
        <v>251</v>
      </c>
      <c r="G11" s="13" t="s">
        <v>252</v>
      </c>
    </row>
    <row r="12" ht="48" customHeight="1" spans="1:7">
      <c r="A12" s="13" t="s">
        <v>253</v>
      </c>
      <c r="B12" s="13" t="s">
        <v>243</v>
      </c>
      <c r="C12" s="13" t="s">
        <v>254</v>
      </c>
      <c r="D12" s="13" t="s">
        <v>16</v>
      </c>
      <c r="E12" s="13" t="s">
        <v>255</v>
      </c>
      <c r="F12" s="13" t="s">
        <v>256</v>
      </c>
      <c r="G12" s="13" t="s">
        <v>257</v>
      </c>
    </row>
    <row r="13" ht="48" customHeight="1" spans="1:7">
      <c r="A13" s="13" t="s">
        <v>258</v>
      </c>
      <c r="B13" s="13" t="s">
        <v>243</v>
      </c>
      <c r="C13" s="13" t="s">
        <v>259</v>
      </c>
      <c r="D13" s="13" t="s">
        <v>16</v>
      </c>
      <c r="E13" s="13" t="s">
        <v>260</v>
      </c>
      <c r="F13" s="13" t="s">
        <v>261</v>
      </c>
      <c r="G13" s="13" t="s">
        <v>262</v>
      </c>
    </row>
    <row r="14" ht="48" customHeight="1" spans="1:7">
      <c r="A14" s="13" t="s">
        <v>263</v>
      </c>
      <c r="B14" s="13" t="s">
        <v>243</v>
      </c>
      <c r="C14" s="13" t="s">
        <v>228</v>
      </c>
      <c r="D14" s="13" t="s">
        <v>19</v>
      </c>
      <c r="E14" s="13" t="s">
        <v>264</v>
      </c>
      <c r="F14" s="13" t="s">
        <v>265</v>
      </c>
      <c r="G14" s="13" t="s">
        <v>266</v>
      </c>
    </row>
    <row r="15" ht="48" customHeight="1" spans="1:7">
      <c r="A15" s="13" t="s">
        <v>267</v>
      </c>
      <c r="B15" s="13" t="s">
        <v>268</v>
      </c>
      <c r="C15" s="13" t="s">
        <v>269</v>
      </c>
      <c r="D15" s="13" t="s">
        <v>16</v>
      </c>
      <c r="E15" s="13" t="s">
        <v>270</v>
      </c>
      <c r="F15" s="13" t="s">
        <v>271</v>
      </c>
      <c r="G15" s="13" t="s">
        <v>272</v>
      </c>
    </row>
    <row r="16" ht="48" customHeight="1" spans="1:7">
      <c r="A16" s="13" t="s">
        <v>273</v>
      </c>
      <c r="B16" s="13" t="s">
        <v>268</v>
      </c>
      <c r="C16" s="13" t="s">
        <v>274</v>
      </c>
      <c r="D16" s="13" t="s">
        <v>16</v>
      </c>
      <c r="E16" s="13" t="s">
        <v>275</v>
      </c>
      <c r="F16" s="13" t="s">
        <v>276</v>
      </c>
      <c r="G16" s="13" t="s">
        <v>277</v>
      </c>
    </row>
    <row r="17" ht="48" customHeight="1" spans="1:7">
      <c r="A17" s="13" t="s">
        <v>278</v>
      </c>
      <c r="B17" s="13" t="s">
        <v>268</v>
      </c>
      <c r="C17" s="13" t="s">
        <v>279</v>
      </c>
      <c r="D17" s="13" t="s">
        <v>19</v>
      </c>
      <c r="E17" s="13" t="s">
        <v>280</v>
      </c>
      <c r="F17" s="13" t="s">
        <v>281</v>
      </c>
      <c r="G17" s="13" t="s">
        <v>282</v>
      </c>
    </row>
    <row r="18" ht="48" customHeight="1" spans="1:7">
      <c r="A18" s="13" t="s">
        <v>283</v>
      </c>
      <c r="B18" s="13" t="s">
        <v>284</v>
      </c>
      <c r="C18" s="13" t="s">
        <v>285</v>
      </c>
      <c r="D18" s="13" t="s">
        <v>19</v>
      </c>
      <c r="E18" s="13" t="s">
        <v>286</v>
      </c>
      <c r="F18" s="13" t="s">
        <v>287</v>
      </c>
      <c r="G18" s="13" t="s">
        <v>288</v>
      </c>
    </row>
    <row r="19" ht="48" customHeight="1" spans="1:7">
      <c r="A19" s="13" t="s">
        <v>289</v>
      </c>
      <c r="B19" s="13" t="s">
        <v>284</v>
      </c>
      <c r="C19" s="13" t="s">
        <v>290</v>
      </c>
      <c r="D19" s="13" t="s">
        <v>16</v>
      </c>
      <c r="E19" s="13" t="s">
        <v>291</v>
      </c>
      <c r="F19" s="13" t="s">
        <v>292</v>
      </c>
      <c r="G19" s="13" t="s">
        <v>293</v>
      </c>
    </row>
    <row r="20" ht="48" customHeight="1" spans="1:7">
      <c r="A20" s="13" t="s">
        <v>294</v>
      </c>
      <c r="B20" s="13" t="s">
        <v>284</v>
      </c>
      <c r="C20" s="13" t="s">
        <v>295</v>
      </c>
      <c r="D20" s="13" t="s">
        <v>19</v>
      </c>
      <c r="E20" s="13" t="s">
        <v>296</v>
      </c>
      <c r="F20" s="13" t="s">
        <v>297</v>
      </c>
      <c r="G20" s="13" t="s">
        <v>298</v>
      </c>
    </row>
    <row r="21" ht="48" customHeight="1" spans="1:7">
      <c r="A21" s="13" t="s">
        <v>299</v>
      </c>
      <c r="B21" s="13" t="s">
        <v>300</v>
      </c>
      <c r="C21" s="13" t="s">
        <v>301</v>
      </c>
      <c r="D21" s="13" t="s">
        <v>19</v>
      </c>
      <c r="E21" s="13" t="s">
        <v>302</v>
      </c>
      <c r="F21" s="13" t="s">
        <v>303</v>
      </c>
      <c r="G21" s="13" t="s">
        <v>304</v>
      </c>
    </row>
    <row r="22" ht="48" customHeight="1" spans="1:7">
      <c r="A22" s="13" t="s">
        <v>305</v>
      </c>
      <c r="B22" s="13" t="s">
        <v>306</v>
      </c>
      <c r="C22" s="13" t="s">
        <v>307</v>
      </c>
      <c r="D22" s="13" t="s">
        <v>16</v>
      </c>
      <c r="E22" s="13" t="s">
        <v>308</v>
      </c>
      <c r="F22" s="13" t="s">
        <v>309</v>
      </c>
      <c r="G22" s="13" t="s">
        <v>310</v>
      </c>
    </row>
    <row r="23" ht="48" customHeight="1" spans="1:7">
      <c r="A23" s="13" t="s">
        <v>311</v>
      </c>
      <c r="B23" s="13" t="s">
        <v>306</v>
      </c>
      <c r="C23" s="13" t="s">
        <v>312</v>
      </c>
      <c r="D23" s="13" t="s">
        <v>19</v>
      </c>
      <c r="E23" s="13" t="s">
        <v>313</v>
      </c>
      <c r="F23" s="13" t="s">
        <v>314</v>
      </c>
      <c r="G23" s="13" t="s">
        <v>315</v>
      </c>
    </row>
    <row r="24" ht="48" customHeight="1" spans="1:7">
      <c r="A24" s="13" t="s">
        <v>316</v>
      </c>
      <c r="B24" s="13" t="s">
        <v>317</v>
      </c>
      <c r="C24" s="13" t="s">
        <v>318</v>
      </c>
      <c r="D24" s="13" t="s">
        <v>16</v>
      </c>
      <c r="E24" s="13" t="s">
        <v>319</v>
      </c>
      <c r="F24" s="13" t="s">
        <v>320</v>
      </c>
      <c r="G24" s="13" t="s">
        <v>321</v>
      </c>
    </row>
    <row r="25" ht="48" customHeight="1" spans="1:7">
      <c r="A25" s="13" t="s">
        <v>322</v>
      </c>
      <c r="B25" s="13" t="s">
        <v>323</v>
      </c>
      <c r="C25" s="13" t="s">
        <v>324</v>
      </c>
      <c r="D25" s="13" t="s">
        <v>16</v>
      </c>
      <c r="E25" s="13" t="s">
        <v>325</v>
      </c>
      <c r="F25" s="13" t="s">
        <v>326</v>
      </c>
      <c r="G25" s="13" t="s">
        <v>327</v>
      </c>
    </row>
    <row r="26" ht="48" customHeight="1" spans="1:7">
      <c r="A26" s="13" t="s">
        <v>328</v>
      </c>
      <c r="B26" s="13" t="s">
        <v>329</v>
      </c>
      <c r="C26" s="13" t="s">
        <v>330</v>
      </c>
      <c r="D26" s="13" t="s">
        <v>19</v>
      </c>
      <c r="E26" s="13" t="s">
        <v>331</v>
      </c>
      <c r="F26" s="13" t="s">
        <v>332</v>
      </c>
      <c r="G26" s="13" t="s">
        <v>333</v>
      </c>
    </row>
    <row r="27" ht="48" customHeight="1" spans="1:7">
      <c r="A27" s="13" t="s">
        <v>334</v>
      </c>
      <c r="B27" s="13" t="s">
        <v>329</v>
      </c>
      <c r="C27" s="13" t="s">
        <v>335</v>
      </c>
      <c r="D27" s="13" t="s">
        <v>19</v>
      </c>
      <c r="E27" s="13" t="s">
        <v>336</v>
      </c>
      <c r="F27" s="13" t="s">
        <v>337</v>
      </c>
      <c r="G27" s="13" t="s">
        <v>338</v>
      </c>
    </row>
    <row r="28" ht="48" customHeight="1" spans="1:7">
      <c r="A28" s="13" t="s">
        <v>339</v>
      </c>
      <c r="B28" s="13" t="s">
        <v>340</v>
      </c>
      <c r="C28" s="13" t="s">
        <v>341</v>
      </c>
      <c r="D28" s="13" t="s">
        <v>19</v>
      </c>
      <c r="E28" s="13" t="s">
        <v>342</v>
      </c>
      <c r="F28" s="13" t="s">
        <v>343</v>
      </c>
      <c r="G28" s="13" t="s">
        <v>344</v>
      </c>
    </row>
    <row r="29" ht="48" customHeight="1" spans="1:7">
      <c r="A29" s="13" t="s">
        <v>345</v>
      </c>
      <c r="B29" s="13" t="s">
        <v>346</v>
      </c>
      <c r="C29" s="13" t="s">
        <v>347</v>
      </c>
      <c r="D29" s="13" t="s">
        <v>19</v>
      </c>
      <c r="E29" s="13" t="s">
        <v>348</v>
      </c>
      <c r="F29" s="13" t="s">
        <v>349</v>
      </c>
      <c r="G29" s="13" t="s">
        <v>350</v>
      </c>
    </row>
    <row r="30" ht="48" customHeight="1" spans="1:7">
      <c r="A30" s="13" t="s">
        <v>351</v>
      </c>
      <c r="B30" s="13" t="s">
        <v>352</v>
      </c>
      <c r="C30" s="13" t="s">
        <v>353</v>
      </c>
      <c r="D30" s="13" t="s">
        <v>16</v>
      </c>
      <c r="E30" s="13" t="s">
        <v>354</v>
      </c>
      <c r="F30" s="13" t="s">
        <v>355</v>
      </c>
      <c r="G30" s="13" t="s">
        <v>356</v>
      </c>
    </row>
    <row r="31" ht="48" customHeight="1" spans="1:7">
      <c r="A31" s="13" t="s">
        <v>357</v>
      </c>
      <c r="B31" s="13" t="s">
        <v>352</v>
      </c>
      <c r="C31" s="13" t="s">
        <v>358</v>
      </c>
      <c r="D31" s="13" t="s">
        <v>16</v>
      </c>
      <c r="E31" s="13" t="s">
        <v>359</v>
      </c>
      <c r="F31" s="13" t="s">
        <v>360</v>
      </c>
      <c r="G31" s="13" t="s">
        <v>361</v>
      </c>
    </row>
    <row r="32" ht="48" customHeight="1" spans="1:7">
      <c r="A32" s="13" t="s">
        <v>362</v>
      </c>
      <c r="B32" s="13" t="s">
        <v>352</v>
      </c>
      <c r="C32" s="13" t="s">
        <v>363</v>
      </c>
      <c r="D32" s="13" t="s">
        <v>19</v>
      </c>
      <c r="E32" s="13" t="s">
        <v>364</v>
      </c>
      <c r="F32" s="13" t="s">
        <v>365</v>
      </c>
      <c r="G32" s="13" t="s">
        <v>366</v>
      </c>
    </row>
    <row r="33" ht="48" customHeight="1" spans="1:7">
      <c r="A33" s="13" t="s">
        <v>367</v>
      </c>
      <c r="B33" s="13" t="s">
        <v>368</v>
      </c>
      <c r="C33" s="13" t="s">
        <v>369</v>
      </c>
      <c r="D33" s="13" t="s">
        <v>19</v>
      </c>
      <c r="E33" s="13" t="s">
        <v>370</v>
      </c>
      <c r="F33" s="13" t="s">
        <v>371</v>
      </c>
      <c r="G33" s="13" t="s">
        <v>372</v>
      </c>
    </row>
    <row r="34" ht="48" customHeight="1" spans="1:7">
      <c r="A34" s="13" t="s">
        <v>373</v>
      </c>
      <c r="B34" s="13" t="s">
        <v>374</v>
      </c>
      <c r="C34" s="13" t="s">
        <v>375</v>
      </c>
      <c r="D34" s="13" t="s">
        <v>19</v>
      </c>
      <c r="E34" s="13" t="s">
        <v>376</v>
      </c>
      <c r="F34" s="13" t="s">
        <v>377</v>
      </c>
      <c r="G34" s="13" t="s">
        <v>378</v>
      </c>
    </row>
    <row r="35" ht="48" customHeight="1" spans="1:7">
      <c r="A35" s="13" t="s">
        <v>379</v>
      </c>
      <c r="B35" s="13" t="s">
        <v>374</v>
      </c>
      <c r="C35" s="13" t="s">
        <v>380</v>
      </c>
      <c r="D35" s="13" t="s">
        <v>22</v>
      </c>
      <c r="E35" s="13" t="s">
        <v>381</v>
      </c>
      <c r="F35" s="13" t="s">
        <v>382</v>
      </c>
      <c r="G35" s="13" t="s">
        <v>383</v>
      </c>
    </row>
    <row r="36" ht="48" customHeight="1" spans="1:7">
      <c r="A36" s="13" t="s">
        <v>384</v>
      </c>
      <c r="B36" s="13" t="s">
        <v>385</v>
      </c>
      <c r="C36" s="13" t="s">
        <v>386</v>
      </c>
      <c r="D36" s="13" t="s">
        <v>19</v>
      </c>
      <c r="E36" s="13" t="s">
        <v>387</v>
      </c>
      <c r="F36" s="13" t="s">
        <v>388</v>
      </c>
      <c r="G36" s="13" t="s">
        <v>389</v>
      </c>
    </row>
    <row r="37" ht="48" customHeight="1" spans="1:7">
      <c r="A37" s="13" t="s">
        <v>390</v>
      </c>
      <c r="B37" s="13" t="s">
        <v>391</v>
      </c>
      <c r="C37" s="13" t="s">
        <v>392</v>
      </c>
      <c r="D37" s="13" t="s">
        <v>19</v>
      </c>
      <c r="E37" s="13" t="s">
        <v>393</v>
      </c>
      <c r="F37" s="13" t="s">
        <v>394</v>
      </c>
      <c r="G37" s="13" t="s">
        <v>395</v>
      </c>
    </row>
    <row r="38" ht="48" customHeight="1" spans="1:7">
      <c r="A38" s="13" t="s">
        <v>396</v>
      </c>
      <c r="B38" s="13" t="s">
        <v>397</v>
      </c>
      <c r="C38" s="13" t="s">
        <v>398</v>
      </c>
      <c r="D38" s="13" t="s">
        <v>16</v>
      </c>
      <c r="E38" s="13" t="s">
        <v>399</v>
      </c>
      <c r="F38" s="13" t="s">
        <v>400</v>
      </c>
      <c r="G38" s="13" t="s">
        <v>401</v>
      </c>
    </row>
  </sheetData>
  <mergeCells count="2">
    <mergeCell ref="A1:G1"/>
    <mergeCell ref="A2:G2"/>
  </mergeCells>
  <conditionalFormatting sqref="D4:D38">
    <cfRule type="containsText" dxfId="0" priority="1" operator="between" text="P0">
      <formula>NOT(ISERROR(SEARCH("P0",D4)))</formula>
    </cfRule>
    <cfRule type="containsText" dxfId="1" priority="2" operator="between" text="P1">
      <formula>NOT(ISERROR(SEARCH("P1",D4)))</formula>
    </cfRule>
    <cfRule type="containsText" dxfId="2" priority="3" operator="between" text="P2">
      <formula>NOT(ISERROR(SEARCH("P2",D4)))</formula>
    </cfRule>
  </conditionalFormatting>
  <dataValidations count="1">
    <dataValidation type="list" sqref="D4:D38">
      <formula1>"P0,P1,P2"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showGridLines="0" workbookViewId="0">
      <selection activeCell="C33" sqref="C33"/>
    </sheetView>
  </sheetViews>
  <sheetFormatPr defaultColWidth="9" defaultRowHeight="16.8" outlineLevelCol="5"/>
  <cols>
    <col min="1" max="1" width="16" customWidth="1"/>
    <col min="2" max="2" width="24" customWidth="1"/>
    <col min="3" max="3" width="32" customWidth="1"/>
    <col min="4" max="4" width="34" customWidth="1"/>
    <col min="5" max="5" width="20" customWidth="1"/>
    <col min="6" max="6" width="30" customWidth="1"/>
  </cols>
  <sheetData>
    <row r="1" ht="34" customHeight="1" spans="1:6">
      <c r="A1" s="1" t="s">
        <v>402</v>
      </c>
      <c r="B1" s="9"/>
      <c r="C1" s="9"/>
      <c r="D1" s="9"/>
      <c r="E1" s="9"/>
      <c r="F1" s="9"/>
    </row>
    <row r="2" ht="30" customHeight="1" spans="1:6">
      <c r="A2" s="10" t="s">
        <v>403</v>
      </c>
      <c r="B2" s="10" t="s">
        <v>403</v>
      </c>
      <c r="C2" s="10" t="s">
        <v>403</v>
      </c>
      <c r="D2" s="10" t="s">
        <v>403</v>
      </c>
      <c r="E2" s="10" t="s">
        <v>403</v>
      </c>
      <c r="F2" s="10" t="s">
        <v>403</v>
      </c>
    </row>
    <row r="3" ht="30" customHeight="1" spans="1:6">
      <c r="A3" s="11" t="s">
        <v>404</v>
      </c>
      <c r="B3" s="12" t="s">
        <v>223</v>
      </c>
      <c r="C3" s="12" t="s">
        <v>405</v>
      </c>
      <c r="D3" s="12" t="s">
        <v>406</v>
      </c>
      <c r="E3" s="12" t="s">
        <v>407</v>
      </c>
      <c r="F3" s="14" t="s">
        <v>408</v>
      </c>
    </row>
    <row r="4" ht="38" customHeight="1" spans="1:6">
      <c r="A4" s="13" t="s">
        <v>212</v>
      </c>
      <c r="B4" s="13" t="s">
        <v>409</v>
      </c>
      <c r="C4" s="13" t="s">
        <v>410</v>
      </c>
      <c r="D4" s="13" t="s">
        <v>411</v>
      </c>
      <c r="E4" s="13" t="s">
        <v>412</v>
      </c>
      <c r="F4" s="13" t="s">
        <v>413</v>
      </c>
    </row>
    <row r="5" ht="38" customHeight="1" spans="1:6">
      <c r="A5" s="13" t="s">
        <v>212</v>
      </c>
      <c r="B5" s="13" t="s">
        <v>414</v>
      </c>
      <c r="C5" s="13" t="s">
        <v>415</v>
      </c>
      <c r="D5" s="13" t="s">
        <v>416</v>
      </c>
      <c r="E5" s="13" t="s">
        <v>412</v>
      </c>
      <c r="F5" s="13" t="s">
        <v>417</v>
      </c>
    </row>
    <row r="6" ht="38" customHeight="1" spans="1:6">
      <c r="A6" s="13" t="s">
        <v>212</v>
      </c>
      <c r="B6" s="13" t="s">
        <v>418</v>
      </c>
      <c r="C6" s="13" t="s">
        <v>419</v>
      </c>
      <c r="D6" s="13" t="s">
        <v>420</v>
      </c>
      <c r="E6" s="13" t="s">
        <v>412</v>
      </c>
      <c r="F6" s="13" t="s">
        <v>421</v>
      </c>
    </row>
    <row r="7" ht="38" customHeight="1" spans="1:6">
      <c r="A7" s="13" t="s">
        <v>212</v>
      </c>
      <c r="B7" s="13" t="s">
        <v>422</v>
      </c>
      <c r="C7" s="13" t="s">
        <v>423</v>
      </c>
      <c r="D7" s="13" t="s">
        <v>424</v>
      </c>
      <c r="E7" s="13" t="s">
        <v>412</v>
      </c>
      <c r="F7" s="13" t="s">
        <v>425</v>
      </c>
    </row>
    <row r="8" ht="38" customHeight="1" spans="1:6">
      <c r="A8" s="13" t="s">
        <v>212</v>
      </c>
      <c r="B8" s="13" t="s">
        <v>426</v>
      </c>
      <c r="C8" s="13" t="s">
        <v>427</v>
      </c>
      <c r="D8" s="13" t="s">
        <v>428</v>
      </c>
      <c r="E8" s="13" t="s">
        <v>429</v>
      </c>
      <c r="F8" s="13" t="s">
        <v>430</v>
      </c>
    </row>
    <row r="9" ht="38" customHeight="1" spans="1:6">
      <c r="A9" s="13" t="s">
        <v>212</v>
      </c>
      <c r="B9" s="13" t="s">
        <v>431</v>
      </c>
      <c r="C9" s="13" t="s">
        <v>432</v>
      </c>
      <c r="D9" s="13" t="s">
        <v>433</v>
      </c>
      <c r="E9" s="13" t="s">
        <v>412</v>
      </c>
      <c r="F9" s="13" t="s">
        <v>434</v>
      </c>
    </row>
    <row r="10" ht="38" customHeight="1" spans="1:6">
      <c r="A10" s="13" t="s">
        <v>212</v>
      </c>
      <c r="B10" s="13" t="s">
        <v>435</v>
      </c>
      <c r="C10" s="13" t="s">
        <v>436</v>
      </c>
      <c r="D10" s="13" t="s">
        <v>437</v>
      </c>
      <c r="E10" s="13" t="s">
        <v>438</v>
      </c>
      <c r="F10" s="13" t="s">
        <v>439</v>
      </c>
    </row>
    <row r="11" ht="38" customHeight="1" spans="1:6">
      <c r="A11" s="13" t="s">
        <v>212</v>
      </c>
      <c r="B11" s="13" t="s">
        <v>440</v>
      </c>
      <c r="C11" s="13" t="s">
        <v>441</v>
      </c>
      <c r="D11" s="13" t="s">
        <v>442</v>
      </c>
      <c r="E11" s="13" t="s">
        <v>429</v>
      </c>
      <c r="F11" s="13" t="s">
        <v>443</v>
      </c>
    </row>
    <row r="12" ht="38" customHeight="1" spans="1:6">
      <c r="A12" s="13" t="s">
        <v>212</v>
      </c>
      <c r="B12" s="13" t="s">
        <v>444</v>
      </c>
      <c r="C12" s="13" t="s">
        <v>445</v>
      </c>
      <c r="D12" s="13" t="s">
        <v>446</v>
      </c>
      <c r="E12" s="13" t="s">
        <v>412</v>
      </c>
      <c r="F12" s="13" t="s">
        <v>447</v>
      </c>
    </row>
    <row r="13" ht="38" customHeight="1" spans="1:6">
      <c r="A13" s="13" t="s">
        <v>212</v>
      </c>
      <c r="B13" s="13" t="s">
        <v>233</v>
      </c>
      <c r="C13" s="13" t="s">
        <v>329</v>
      </c>
      <c r="D13" s="13" t="s">
        <v>448</v>
      </c>
      <c r="E13" s="13" t="s">
        <v>449</v>
      </c>
      <c r="F13" s="13" t="s">
        <v>450</v>
      </c>
    </row>
    <row r="14" ht="38" customHeight="1" spans="1:6">
      <c r="A14" s="13" t="s">
        <v>243</v>
      </c>
      <c r="B14" s="13" t="s">
        <v>451</v>
      </c>
      <c r="C14" s="13" t="s">
        <v>452</v>
      </c>
      <c r="D14" s="13" t="s">
        <v>453</v>
      </c>
      <c r="E14" s="13" t="s">
        <v>429</v>
      </c>
      <c r="F14" s="13" t="s">
        <v>454</v>
      </c>
    </row>
    <row r="15" ht="38" customHeight="1" spans="1:6">
      <c r="A15" s="13" t="s">
        <v>243</v>
      </c>
      <c r="B15" s="13" t="s">
        <v>455</v>
      </c>
      <c r="C15" s="13" t="s">
        <v>456</v>
      </c>
      <c r="D15" s="13" t="s">
        <v>457</v>
      </c>
      <c r="E15" s="13" t="s">
        <v>429</v>
      </c>
      <c r="F15" s="13" t="s">
        <v>458</v>
      </c>
    </row>
    <row r="16" ht="38" customHeight="1" spans="1:6">
      <c r="A16" s="13" t="s">
        <v>243</v>
      </c>
      <c r="B16" s="13" t="s">
        <v>459</v>
      </c>
      <c r="C16" s="13" t="s">
        <v>460</v>
      </c>
      <c r="D16" s="13" t="s">
        <v>461</v>
      </c>
      <c r="E16" s="13" t="s">
        <v>429</v>
      </c>
      <c r="F16" s="13" t="s">
        <v>462</v>
      </c>
    </row>
    <row r="17" ht="38" customHeight="1" spans="1:6">
      <c r="A17" s="13" t="s">
        <v>243</v>
      </c>
      <c r="B17" s="13" t="s">
        <v>463</v>
      </c>
      <c r="C17" s="13" t="s">
        <v>464</v>
      </c>
      <c r="D17" s="13" t="s">
        <v>465</v>
      </c>
      <c r="E17" s="13" t="s">
        <v>466</v>
      </c>
      <c r="F17" s="13" t="s">
        <v>467</v>
      </c>
    </row>
    <row r="18" ht="38" customHeight="1" spans="1:6">
      <c r="A18" s="13" t="s">
        <v>243</v>
      </c>
      <c r="B18" s="13" t="s">
        <v>468</v>
      </c>
      <c r="C18" s="13" t="s">
        <v>469</v>
      </c>
      <c r="D18" s="13" t="s">
        <v>470</v>
      </c>
      <c r="E18" s="13" t="s">
        <v>429</v>
      </c>
      <c r="F18" s="13" t="s">
        <v>471</v>
      </c>
    </row>
    <row r="19" ht="38" customHeight="1" spans="1:6">
      <c r="A19" s="13" t="s">
        <v>243</v>
      </c>
      <c r="B19" s="13" t="s">
        <v>324</v>
      </c>
      <c r="C19" s="13" t="s">
        <v>472</v>
      </c>
      <c r="D19" s="13" t="s">
        <v>473</v>
      </c>
      <c r="E19" s="13" t="s">
        <v>429</v>
      </c>
      <c r="F19" s="13" t="s">
        <v>474</v>
      </c>
    </row>
    <row r="20" spans="1:6">
      <c r="A20" s="9"/>
      <c r="B20" s="9"/>
      <c r="C20" s="9"/>
      <c r="D20" s="9"/>
      <c r="E20" s="9"/>
      <c r="F20" s="9"/>
    </row>
    <row r="21" spans="1:6">
      <c r="A21" s="9"/>
      <c r="B21" s="9"/>
      <c r="C21" s="9"/>
      <c r="D21" s="9"/>
      <c r="E21" s="9"/>
      <c r="F21" s="9"/>
    </row>
    <row r="22" ht="30" customHeight="1" spans="1:6">
      <c r="A22" s="11" t="s">
        <v>475</v>
      </c>
      <c r="B22" s="12" t="s">
        <v>476</v>
      </c>
      <c r="C22" s="12" t="s">
        <v>477</v>
      </c>
      <c r="D22" s="12" t="s">
        <v>13</v>
      </c>
      <c r="E22" s="14" t="s">
        <v>478</v>
      </c>
      <c r="F22" s="9"/>
    </row>
    <row r="23" ht="34" customHeight="1" spans="1:6">
      <c r="A23" s="13" t="s">
        <v>409</v>
      </c>
      <c r="B23" s="13" t="s">
        <v>479</v>
      </c>
      <c r="C23" s="13" t="s">
        <v>480</v>
      </c>
      <c r="D23" s="13" t="s">
        <v>481</v>
      </c>
      <c r="E23" s="13" t="s">
        <v>482</v>
      </c>
      <c r="F23" s="9"/>
    </row>
    <row r="24" ht="34" customHeight="1" spans="1:6">
      <c r="A24" s="13" t="s">
        <v>409</v>
      </c>
      <c r="B24" s="13" t="s">
        <v>483</v>
      </c>
      <c r="C24" s="13" t="s">
        <v>484</v>
      </c>
      <c r="D24" s="13" t="s">
        <v>485</v>
      </c>
      <c r="E24" s="13" t="s">
        <v>486</v>
      </c>
      <c r="F24" s="9"/>
    </row>
    <row r="25" ht="34" customHeight="1" spans="1:6">
      <c r="A25" s="13" t="s">
        <v>409</v>
      </c>
      <c r="B25" s="13" t="s">
        <v>437</v>
      </c>
      <c r="C25" s="13" t="s">
        <v>487</v>
      </c>
      <c r="D25" s="13" t="s">
        <v>488</v>
      </c>
      <c r="E25" s="13" t="s">
        <v>489</v>
      </c>
      <c r="F25" s="9"/>
    </row>
    <row r="26" ht="34" customHeight="1" spans="1:6">
      <c r="A26" s="13" t="s">
        <v>409</v>
      </c>
      <c r="B26" s="13" t="s">
        <v>490</v>
      </c>
      <c r="C26" s="13" t="s">
        <v>491</v>
      </c>
      <c r="D26" s="13" t="s">
        <v>492</v>
      </c>
      <c r="E26" s="13" t="s">
        <v>493</v>
      </c>
      <c r="F26" s="9"/>
    </row>
    <row r="27" ht="34" customHeight="1" spans="1:6">
      <c r="A27" s="13" t="s">
        <v>409</v>
      </c>
      <c r="B27" s="13" t="s">
        <v>494</v>
      </c>
      <c r="C27" s="13" t="s">
        <v>495</v>
      </c>
      <c r="D27" s="13" t="s">
        <v>496</v>
      </c>
      <c r="E27" s="13" t="s">
        <v>497</v>
      </c>
      <c r="F27" s="9"/>
    </row>
    <row r="28" ht="34" customHeight="1" spans="1:6">
      <c r="A28" s="13" t="s">
        <v>409</v>
      </c>
      <c r="B28" s="13" t="s">
        <v>498</v>
      </c>
      <c r="C28" s="13" t="s">
        <v>499</v>
      </c>
      <c r="D28" s="13" t="s">
        <v>500</v>
      </c>
      <c r="E28" s="13" t="s">
        <v>501</v>
      </c>
      <c r="F28" s="9"/>
    </row>
    <row r="29" ht="34" customHeight="1" spans="1:6">
      <c r="A29" s="13" t="s">
        <v>409</v>
      </c>
      <c r="B29" s="13" t="s">
        <v>502</v>
      </c>
      <c r="C29" s="13" t="s">
        <v>503</v>
      </c>
      <c r="D29" s="13" t="s">
        <v>504</v>
      </c>
      <c r="E29" s="13" t="s">
        <v>505</v>
      </c>
      <c r="F29" s="9"/>
    </row>
    <row r="30" ht="34" customHeight="1" spans="1:6">
      <c r="A30" s="13" t="s">
        <v>409</v>
      </c>
      <c r="B30" s="13" t="s">
        <v>506</v>
      </c>
      <c r="C30" s="13" t="s">
        <v>507</v>
      </c>
      <c r="D30" s="13" t="s">
        <v>508</v>
      </c>
      <c r="E30" s="13" t="s">
        <v>509</v>
      </c>
      <c r="F30" s="9"/>
    </row>
    <row r="31" ht="34" customHeight="1" spans="1:6">
      <c r="A31" s="13" t="s">
        <v>409</v>
      </c>
      <c r="B31" s="13" t="s">
        <v>510</v>
      </c>
      <c r="C31" s="13" t="s">
        <v>511</v>
      </c>
      <c r="D31" s="13" t="s">
        <v>512</v>
      </c>
      <c r="E31" s="13" t="s">
        <v>513</v>
      </c>
      <c r="F31" s="9"/>
    </row>
    <row r="32" ht="34" customHeight="1" spans="1:6">
      <c r="A32" s="13" t="s">
        <v>431</v>
      </c>
      <c r="B32" s="13" t="s">
        <v>514</v>
      </c>
      <c r="C32" s="13" t="s">
        <v>515</v>
      </c>
      <c r="D32" s="13" t="s">
        <v>516</v>
      </c>
      <c r="E32" s="13" t="s">
        <v>517</v>
      </c>
      <c r="F32" s="9"/>
    </row>
    <row r="33" ht="34" customHeight="1" spans="1:6">
      <c r="A33" s="13" t="s">
        <v>431</v>
      </c>
      <c r="B33" s="13" t="s">
        <v>518</v>
      </c>
      <c r="C33" s="13" t="s">
        <v>519</v>
      </c>
      <c r="D33" s="13" t="s">
        <v>520</v>
      </c>
      <c r="E33" s="13" t="s">
        <v>521</v>
      </c>
      <c r="F33" s="9"/>
    </row>
    <row r="34" ht="34" customHeight="1" spans="1:6">
      <c r="A34" s="13" t="s">
        <v>431</v>
      </c>
      <c r="B34" s="13" t="s">
        <v>433</v>
      </c>
      <c r="C34" s="13" t="s">
        <v>522</v>
      </c>
      <c r="D34" s="13" t="s">
        <v>523</v>
      </c>
      <c r="E34" s="13" t="s">
        <v>524</v>
      </c>
      <c r="F34" s="9"/>
    </row>
    <row r="35" ht="34" customHeight="1" spans="1:6">
      <c r="A35" s="13" t="s">
        <v>431</v>
      </c>
      <c r="B35" s="13" t="s">
        <v>525</v>
      </c>
      <c r="C35" s="13" t="s">
        <v>526</v>
      </c>
      <c r="D35" s="13" t="s">
        <v>527</v>
      </c>
      <c r="E35" s="13" t="s">
        <v>528</v>
      </c>
      <c r="F35" s="9"/>
    </row>
    <row r="36" ht="34" customHeight="1" spans="1:6">
      <c r="A36" s="13" t="s">
        <v>431</v>
      </c>
      <c r="B36" s="13" t="s">
        <v>529</v>
      </c>
      <c r="C36" s="13" t="s">
        <v>530</v>
      </c>
      <c r="D36" s="13" t="s">
        <v>531</v>
      </c>
      <c r="E36" s="13" t="s">
        <v>532</v>
      </c>
      <c r="F36" s="9"/>
    </row>
    <row r="37" ht="34" customHeight="1" spans="1:6">
      <c r="A37" s="13" t="s">
        <v>431</v>
      </c>
      <c r="B37" s="13" t="s">
        <v>533</v>
      </c>
      <c r="C37" s="13" t="s">
        <v>534</v>
      </c>
      <c r="D37" s="13" t="s">
        <v>535</v>
      </c>
      <c r="E37" s="13" t="s">
        <v>536</v>
      </c>
      <c r="F37" s="9"/>
    </row>
  </sheetData>
  <mergeCells count="2">
    <mergeCell ref="A1:F1"/>
    <mergeCell ref="A2:F2"/>
  </mergeCells>
  <pageMargins left="0.7" right="0.7" top="0.75" bottom="0.75" header="0.3" footer="0.3"/>
  <headerFooter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showGridLines="0" topLeftCell="A10" workbookViewId="0">
      <selection activeCell="C13" sqref="C13"/>
    </sheetView>
  </sheetViews>
  <sheetFormatPr defaultColWidth="9" defaultRowHeight="16.8" outlineLevelCol="5"/>
  <cols>
    <col min="1" max="1" width="10" customWidth="1"/>
    <col min="2" max="2" width="12" customWidth="1"/>
    <col min="3" max="3" width="42" customWidth="1"/>
    <col min="4" max="4" width="34" customWidth="1"/>
    <col min="5" max="5" width="20" customWidth="1"/>
    <col min="6" max="6" width="14" customWidth="1"/>
  </cols>
  <sheetData>
    <row r="1" ht="34" customHeight="1" spans="1:6">
      <c r="A1" s="1" t="s">
        <v>537</v>
      </c>
      <c r="B1" s="9"/>
      <c r="C1" s="9"/>
      <c r="D1" s="9"/>
      <c r="E1" s="9"/>
      <c r="F1" s="9"/>
    </row>
    <row r="2" ht="30" customHeight="1" spans="1:6">
      <c r="A2" s="10" t="s">
        <v>538</v>
      </c>
      <c r="B2" s="10" t="s">
        <v>538</v>
      </c>
      <c r="C2" s="10" t="s">
        <v>538</v>
      </c>
      <c r="D2" s="10" t="s">
        <v>538</v>
      </c>
      <c r="E2" s="10" t="s">
        <v>538</v>
      </c>
      <c r="F2" s="10" t="s">
        <v>538</v>
      </c>
    </row>
    <row r="3" ht="30" customHeight="1" spans="1:6">
      <c r="A3" s="11" t="s">
        <v>12</v>
      </c>
      <c r="B3" s="12" t="s">
        <v>539</v>
      </c>
      <c r="C3" s="12" t="s">
        <v>540</v>
      </c>
      <c r="D3" s="12" t="s">
        <v>541</v>
      </c>
      <c r="E3" s="12" t="s">
        <v>542</v>
      </c>
      <c r="F3" s="14" t="s">
        <v>213</v>
      </c>
    </row>
    <row r="4" ht="42" customHeight="1" spans="1:6">
      <c r="A4" s="13" t="s">
        <v>16</v>
      </c>
      <c r="B4" s="13" t="s">
        <v>543</v>
      </c>
      <c r="C4" s="13" t="s">
        <v>544</v>
      </c>
      <c r="D4" s="13" t="s">
        <v>545</v>
      </c>
      <c r="E4" s="13" t="s">
        <v>546</v>
      </c>
      <c r="F4" s="13" t="s">
        <v>547</v>
      </c>
    </row>
    <row r="5" ht="42" customHeight="1" spans="1:6">
      <c r="A5" s="13" t="s">
        <v>16</v>
      </c>
      <c r="B5" s="13" t="s">
        <v>543</v>
      </c>
      <c r="C5" s="13" t="s">
        <v>548</v>
      </c>
      <c r="D5" s="13" t="s">
        <v>549</v>
      </c>
      <c r="E5" s="13" t="s">
        <v>546</v>
      </c>
      <c r="F5" s="13" t="s">
        <v>547</v>
      </c>
    </row>
    <row r="6" ht="42" customHeight="1" spans="1:6">
      <c r="A6" s="13" t="s">
        <v>16</v>
      </c>
      <c r="B6" s="13" t="s">
        <v>543</v>
      </c>
      <c r="C6" s="13" t="s">
        <v>550</v>
      </c>
      <c r="D6" s="13" t="s">
        <v>551</v>
      </c>
      <c r="E6" s="13" t="s">
        <v>543</v>
      </c>
      <c r="F6" s="13" t="s">
        <v>547</v>
      </c>
    </row>
    <row r="7" ht="42" customHeight="1" spans="1:6">
      <c r="A7" s="13" t="s">
        <v>16</v>
      </c>
      <c r="B7" s="13" t="s">
        <v>543</v>
      </c>
      <c r="C7" s="13" t="s">
        <v>552</v>
      </c>
      <c r="D7" s="13" t="s">
        <v>553</v>
      </c>
      <c r="E7" s="13" t="s">
        <v>546</v>
      </c>
      <c r="F7" s="13" t="s">
        <v>547</v>
      </c>
    </row>
    <row r="8" ht="42" customHeight="1" spans="1:6">
      <c r="A8" s="13" t="s">
        <v>16</v>
      </c>
      <c r="B8" s="13" t="s">
        <v>543</v>
      </c>
      <c r="C8" s="13" t="s">
        <v>554</v>
      </c>
      <c r="D8" s="13" t="s">
        <v>555</v>
      </c>
      <c r="E8" s="13" t="s">
        <v>546</v>
      </c>
      <c r="F8" s="13" t="s">
        <v>547</v>
      </c>
    </row>
    <row r="9" ht="42" customHeight="1" spans="1:6">
      <c r="A9" s="13" t="s">
        <v>16</v>
      </c>
      <c r="B9" s="13" t="s">
        <v>543</v>
      </c>
      <c r="C9" s="13" t="s">
        <v>556</v>
      </c>
      <c r="D9" s="13" t="s">
        <v>557</v>
      </c>
      <c r="E9" s="13" t="s">
        <v>558</v>
      </c>
      <c r="F9" s="13" t="s">
        <v>547</v>
      </c>
    </row>
    <row r="10" ht="42" customHeight="1" spans="1:6">
      <c r="A10" s="13" t="s">
        <v>16</v>
      </c>
      <c r="B10" s="13" t="s">
        <v>559</v>
      </c>
      <c r="C10" s="13" t="s">
        <v>560</v>
      </c>
      <c r="D10" s="13" t="s">
        <v>561</v>
      </c>
      <c r="E10" s="13" t="s">
        <v>562</v>
      </c>
      <c r="F10" s="13" t="s">
        <v>547</v>
      </c>
    </row>
    <row r="11" ht="42" customHeight="1" spans="1:6">
      <c r="A11" s="13" t="s">
        <v>16</v>
      </c>
      <c r="B11" s="13" t="s">
        <v>559</v>
      </c>
      <c r="C11" s="13" t="s">
        <v>563</v>
      </c>
      <c r="D11" s="13" t="s">
        <v>564</v>
      </c>
      <c r="E11" s="13" t="s">
        <v>565</v>
      </c>
      <c r="F11" s="13" t="s">
        <v>547</v>
      </c>
    </row>
    <row r="12" ht="42" customHeight="1" spans="1:6">
      <c r="A12" s="13" t="s">
        <v>16</v>
      </c>
      <c r="B12" s="13" t="s">
        <v>559</v>
      </c>
      <c r="C12" s="13" t="s">
        <v>566</v>
      </c>
      <c r="D12" s="13" t="s">
        <v>567</v>
      </c>
      <c r="E12" s="13" t="s">
        <v>568</v>
      </c>
      <c r="F12" s="13" t="s">
        <v>547</v>
      </c>
    </row>
    <row r="13" ht="42" customHeight="1" spans="1:6">
      <c r="A13" s="13" t="s">
        <v>16</v>
      </c>
      <c r="B13" s="13" t="s">
        <v>559</v>
      </c>
      <c r="C13" s="13" t="s">
        <v>569</v>
      </c>
      <c r="D13" s="13" t="s">
        <v>570</v>
      </c>
      <c r="E13" s="13" t="s">
        <v>562</v>
      </c>
      <c r="F13" s="13" t="s">
        <v>547</v>
      </c>
    </row>
    <row r="14" ht="42" customHeight="1" spans="1:6">
      <c r="A14" s="13" t="s">
        <v>16</v>
      </c>
      <c r="B14" s="13" t="s">
        <v>559</v>
      </c>
      <c r="C14" s="13" t="s">
        <v>571</v>
      </c>
      <c r="D14" s="13" t="s">
        <v>572</v>
      </c>
      <c r="E14" s="13" t="s">
        <v>568</v>
      </c>
      <c r="F14" s="13" t="s">
        <v>547</v>
      </c>
    </row>
    <row r="15" ht="42" customHeight="1" spans="1:6">
      <c r="A15" s="13" t="s">
        <v>16</v>
      </c>
      <c r="B15" s="13" t="s">
        <v>559</v>
      </c>
      <c r="C15" s="13" t="s">
        <v>573</v>
      </c>
      <c r="D15" s="13" t="s">
        <v>574</v>
      </c>
      <c r="E15" s="13" t="s">
        <v>575</v>
      </c>
      <c r="F15" s="13" t="s">
        <v>547</v>
      </c>
    </row>
    <row r="16" ht="42" customHeight="1" spans="1:6">
      <c r="A16" s="13" t="s">
        <v>19</v>
      </c>
      <c r="B16" s="13" t="s">
        <v>543</v>
      </c>
      <c r="C16" s="13" t="s">
        <v>576</v>
      </c>
      <c r="D16" s="13" t="s">
        <v>577</v>
      </c>
      <c r="E16" s="13" t="s">
        <v>578</v>
      </c>
      <c r="F16" s="13" t="s">
        <v>547</v>
      </c>
    </row>
    <row r="17" ht="42" customHeight="1" spans="1:6">
      <c r="A17" s="13" t="s">
        <v>19</v>
      </c>
      <c r="B17" s="13" t="s">
        <v>559</v>
      </c>
      <c r="C17" s="13" t="s">
        <v>579</v>
      </c>
      <c r="D17" s="13" t="s">
        <v>580</v>
      </c>
      <c r="E17" s="13" t="s">
        <v>581</v>
      </c>
      <c r="F17" s="13" t="s">
        <v>547</v>
      </c>
    </row>
    <row r="18" ht="42" customHeight="1" spans="1:6">
      <c r="A18" s="13" t="s">
        <v>19</v>
      </c>
      <c r="B18" s="13" t="s">
        <v>559</v>
      </c>
      <c r="C18" s="13" t="s">
        <v>582</v>
      </c>
      <c r="D18" s="13" t="s">
        <v>583</v>
      </c>
      <c r="E18" s="13" t="s">
        <v>568</v>
      </c>
      <c r="F18" s="13" t="s">
        <v>547</v>
      </c>
    </row>
    <row r="19" ht="42" customHeight="1" spans="1:6">
      <c r="A19" s="13" t="s">
        <v>19</v>
      </c>
      <c r="B19" s="13" t="s">
        <v>559</v>
      </c>
      <c r="C19" s="13" t="s">
        <v>584</v>
      </c>
      <c r="D19" s="13" t="s">
        <v>585</v>
      </c>
      <c r="E19" s="13" t="s">
        <v>562</v>
      </c>
      <c r="F19" s="13" t="s">
        <v>547</v>
      </c>
    </row>
    <row r="20" ht="42" customHeight="1" spans="1:6">
      <c r="A20" s="13" t="s">
        <v>22</v>
      </c>
      <c r="B20" s="13" t="s">
        <v>559</v>
      </c>
      <c r="C20" s="13" t="s">
        <v>586</v>
      </c>
      <c r="D20" s="13" t="s">
        <v>587</v>
      </c>
      <c r="E20" s="13" t="s">
        <v>588</v>
      </c>
      <c r="F20" s="13" t="s">
        <v>547</v>
      </c>
    </row>
  </sheetData>
  <mergeCells count="2">
    <mergeCell ref="A1:F1"/>
    <mergeCell ref="A2:F2"/>
  </mergeCells>
  <conditionalFormatting sqref="A4:A20">
    <cfRule type="containsText" dxfId="0" priority="1" operator="between" text="P0">
      <formula>NOT(ISERROR(SEARCH("P0",A4)))</formula>
    </cfRule>
    <cfRule type="containsText" dxfId="1" priority="2" operator="between" text="P1">
      <formula>NOT(ISERROR(SEARCH("P1",A4)))</formula>
    </cfRule>
    <cfRule type="containsText" dxfId="2" priority="3" operator="between" text="P2">
      <formula>NOT(ISERROR(SEARCH("P2",A4)))</formula>
    </cfRule>
  </conditionalFormatting>
  <conditionalFormatting sqref="F4:F20">
    <cfRule type="containsText" dxfId="3" priority="4" operator="between" text="已完成">
      <formula>NOT(ISERROR(SEARCH("已完成",F4)))</formula>
    </cfRule>
    <cfRule type="containsText" dxfId="4" priority="5" operator="between" text="进行中">
      <formula>NOT(ISERROR(SEARCH("进行中",F4)))</formula>
    </cfRule>
  </conditionalFormatting>
  <dataValidations count="2">
    <dataValidation type="list" sqref="A4:A20">
      <formula1>"P0,P1,P2"</formula1>
    </dataValidation>
    <dataValidation type="list" sqref="F4:F20">
      <formula1>"未开始,进行中,待验收,已完成,暂停"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"/>
  <sheetViews>
    <sheetView showGridLines="0" topLeftCell="B45" workbookViewId="0">
      <selection activeCell="A16" sqref="A16:A47"/>
    </sheetView>
  </sheetViews>
  <sheetFormatPr defaultColWidth="9" defaultRowHeight="16.8" outlineLevelCol="7"/>
  <cols>
    <col min="1" max="1" width="12" customWidth="1"/>
    <col min="2" max="2" width="13" customWidth="1"/>
    <col min="3" max="3" width="18" customWidth="1"/>
    <col min="4" max="4" width="16" customWidth="1"/>
    <col min="5" max="5" width="38" customWidth="1"/>
    <col min="6" max="6" width="44" customWidth="1"/>
    <col min="7" max="7" width="20" customWidth="1"/>
    <col min="8" max="8" width="38" customWidth="1"/>
  </cols>
  <sheetData>
    <row r="1" ht="34" customHeight="1" spans="1:8">
      <c r="A1" s="1" t="s">
        <v>589</v>
      </c>
      <c r="B1" s="1" t="s">
        <v>589</v>
      </c>
      <c r="C1" s="1" t="s">
        <v>589</v>
      </c>
      <c r="D1" s="1" t="s">
        <v>589</v>
      </c>
      <c r="E1" s="1" t="s">
        <v>589</v>
      </c>
      <c r="F1" s="1" t="s">
        <v>589</v>
      </c>
      <c r="G1" s="1" t="s">
        <v>589</v>
      </c>
      <c r="H1" s="1" t="s">
        <v>589</v>
      </c>
    </row>
    <row r="2" ht="28" customHeight="1" spans="1:8">
      <c r="A2" s="2" t="s">
        <v>590</v>
      </c>
      <c r="B2" s="2" t="s">
        <v>590</v>
      </c>
      <c r="C2" s="2" t="s">
        <v>590</v>
      </c>
      <c r="D2" s="2" t="s">
        <v>590</v>
      </c>
      <c r="E2" s="2" t="s">
        <v>590</v>
      </c>
      <c r="F2" s="2" t="s">
        <v>590</v>
      </c>
      <c r="G2" s="2" t="s">
        <v>590</v>
      </c>
      <c r="H2" s="2" t="s">
        <v>590</v>
      </c>
    </row>
    <row r="3" ht="30" customHeight="1" spans="1:8">
      <c r="A3" s="3" t="s">
        <v>27</v>
      </c>
      <c r="B3" s="4" t="s">
        <v>28</v>
      </c>
      <c r="C3" s="4" t="s">
        <v>591</v>
      </c>
      <c r="D3" s="4" t="s">
        <v>592</v>
      </c>
      <c r="E3" s="4" t="s">
        <v>593</v>
      </c>
      <c r="F3" s="4" t="s">
        <v>594</v>
      </c>
      <c r="G3" s="4" t="s">
        <v>595</v>
      </c>
      <c r="H3" s="8" t="s">
        <v>596</v>
      </c>
    </row>
    <row r="4" ht="46" customHeight="1" spans="1:8">
      <c r="A4" s="5" t="s">
        <v>597</v>
      </c>
      <c r="B4" s="5" t="s">
        <v>35</v>
      </c>
      <c r="C4" s="5" t="s">
        <v>36</v>
      </c>
      <c r="D4" s="5" t="s">
        <v>598</v>
      </c>
      <c r="E4" s="5" t="s">
        <v>599</v>
      </c>
      <c r="F4" s="5" t="s">
        <v>600</v>
      </c>
      <c r="G4" s="5" t="s">
        <v>601</v>
      </c>
      <c r="H4" s="5" t="s">
        <v>602</v>
      </c>
    </row>
    <row r="5" ht="46" customHeight="1" spans="1:8">
      <c r="A5" s="6" t="s">
        <v>603</v>
      </c>
      <c r="B5" s="6" t="s">
        <v>35</v>
      </c>
      <c r="C5" s="6" t="s">
        <v>36</v>
      </c>
      <c r="D5" s="6" t="s">
        <v>604</v>
      </c>
      <c r="E5" s="6" t="s">
        <v>605</v>
      </c>
      <c r="F5" s="6" t="s">
        <v>605</v>
      </c>
      <c r="G5" s="6" t="s">
        <v>606</v>
      </c>
      <c r="H5" s="6" t="s">
        <v>607</v>
      </c>
    </row>
    <row r="6" ht="46" customHeight="1" spans="1:8">
      <c r="A6" s="6" t="s">
        <v>608</v>
      </c>
      <c r="B6" s="6" t="s">
        <v>35</v>
      </c>
      <c r="C6" s="6" t="s">
        <v>36</v>
      </c>
      <c r="D6" s="6" t="s">
        <v>609</v>
      </c>
      <c r="E6" s="6" t="s">
        <v>152</v>
      </c>
      <c r="F6" s="6" t="s">
        <v>610</v>
      </c>
      <c r="G6" s="6" t="s">
        <v>611</v>
      </c>
      <c r="H6" s="6" t="s">
        <v>612</v>
      </c>
    </row>
    <row r="7" ht="46" customHeight="1" spans="1:8">
      <c r="A7" s="6" t="s">
        <v>613</v>
      </c>
      <c r="B7" s="6" t="s">
        <v>35</v>
      </c>
      <c r="C7" s="6" t="s">
        <v>51</v>
      </c>
      <c r="D7" s="6" t="s">
        <v>614</v>
      </c>
      <c r="E7" s="6" t="s">
        <v>615</v>
      </c>
      <c r="F7" s="6" t="s">
        <v>616</v>
      </c>
      <c r="G7" s="6" t="s">
        <v>606</v>
      </c>
      <c r="H7" s="6" t="s">
        <v>617</v>
      </c>
    </row>
    <row r="8" ht="46" customHeight="1" spans="1:8">
      <c r="A8" s="6" t="s">
        <v>618</v>
      </c>
      <c r="B8" s="6" t="s">
        <v>35</v>
      </c>
      <c r="C8" s="6" t="s">
        <v>51</v>
      </c>
      <c r="D8" s="6" t="s">
        <v>619</v>
      </c>
      <c r="E8" s="6" t="s">
        <v>620</v>
      </c>
      <c r="F8" s="6" t="s">
        <v>621</v>
      </c>
      <c r="G8" s="6" t="s">
        <v>622</v>
      </c>
      <c r="H8" s="6" t="s">
        <v>623</v>
      </c>
    </row>
    <row r="9" ht="46" customHeight="1" spans="1:8">
      <c r="A9" s="6" t="s">
        <v>624</v>
      </c>
      <c r="B9" s="6" t="s">
        <v>35</v>
      </c>
      <c r="C9" s="6" t="s">
        <v>51</v>
      </c>
      <c r="D9" s="6" t="s">
        <v>625</v>
      </c>
      <c r="E9" s="6" t="s">
        <v>626</v>
      </c>
      <c r="F9" s="6" t="s">
        <v>627</v>
      </c>
      <c r="G9" s="6" t="s">
        <v>606</v>
      </c>
      <c r="H9" s="6" t="s">
        <v>628</v>
      </c>
    </row>
    <row r="10" ht="46" customHeight="1" spans="1:8">
      <c r="A10" s="6" t="s">
        <v>629</v>
      </c>
      <c r="B10" s="6" t="s">
        <v>35</v>
      </c>
      <c r="C10" s="6" t="s">
        <v>51</v>
      </c>
      <c r="D10" s="6" t="s">
        <v>630</v>
      </c>
      <c r="E10" s="6" t="s">
        <v>621</v>
      </c>
      <c r="F10" s="6" t="s">
        <v>631</v>
      </c>
      <c r="G10" s="6" t="s">
        <v>606</v>
      </c>
      <c r="H10" s="6" t="s">
        <v>632</v>
      </c>
    </row>
    <row r="11" ht="46" customHeight="1" spans="1:8">
      <c r="A11" s="6" t="s">
        <v>633</v>
      </c>
      <c r="B11" s="6" t="s">
        <v>35</v>
      </c>
      <c r="C11" s="6" t="s">
        <v>51</v>
      </c>
      <c r="D11" s="6" t="s">
        <v>630</v>
      </c>
      <c r="E11" s="6" t="s">
        <v>621</v>
      </c>
      <c r="F11" s="6" t="s">
        <v>634</v>
      </c>
      <c r="G11" s="6" t="s">
        <v>606</v>
      </c>
      <c r="H11" s="6" t="s">
        <v>632</v>
      </c>
    </row>
    <row r="12" ht="46" customHeight="1" spans="1:8">
      <c r="A12" s="6" t="s">
        <v>635</v>
      </c>
      <c r="B12" s="6" t="s">
        <v>35</v>
      </c>
      <c r="C12" s="6" t="s">
        <v>51</v>
      </c>
      <c r="D12" s="6" t="s">
        <v>128</v>
      </c>
      <c r="E12" s="6" t="s">
        <v>636</v>
      </c>
      <c r="F12" s="6" t="s">
        <v>637</v>
      </c>
      <c r="G12" s="6" t="s">
        <v>606</v>
      </c>
      <c r="H12" s="6" t="s">
        <v>638</v>
      </c>
    </row>
    <row r="13" ht="46" customHeight="1" spans="1:8">
      <c r="A13" s="6" t="s">
        <v>639</v>
      </c>
      <c r="B13" s="6" t="s">
        <v>35</v>
      </c>
      <c r="C13" s="6" t="s">
        <v>51</v>
      </c>
      <c r="D13" s="6" t="s">
        <v>640</v>
      </c>
      <c r="E13" s="6" t="s">
        <v>641</v>
      </c>
      <c r="F13" s="6" t="s">
        <v>642</v>
      </c>
      <c r="G13" s="6" t="s">
        <v>606</v>
      </c>
      <c r="H13" s="6" t="s">
        <v>643</v>
      </c>
    </row>
    <row r="14" ht="46" customHeight="1" spans="1:8">
      <c r="A14" s="6" t="s">
        <v>644</v>
      </c>
      <c r="B14" s="6" t="s">
        <v>35</v>
      </c>
      <c r="C14" s="6" t="s">
        <v>75</v>
      </c>
      <c r="D14" s="6" t="s">
        <v>645</v>
      </c>
      <c r="E14" s="6" t="s">
        <v>646</v>
      </c>
      <c r="F14" s="6" t="s">
        <v>646</v>
      </c>
      <c r="G14" s="6" t="s">
        <v>606</v>
      </c>
      <c r="H14" s="6" t="s">
        <v>647</v>
      </c>
    </row>
    <row r="15" ht="46" customHeight="1" spans="1:8">
      <c r="A15" s="6" t="s">
        <v>648</v>
      </c>
      <c r="B15" s="6" t="s">
        <v>35</v>
      </c>
      <c r="C15" s="6" t="s">
        <v>75</v>
      </c>
      <c r="D15" s="6" t="s">
        <v>99</v>
      </c>
      <c r="E15" s="6" t="s">
        <v>649</v>
      </c>
      <c r="F15" s="6" t="s">
        <v>650</v>
      </c>
      <c r="G15" s="6" t="s">
        <v>606</v>
      </c>
      <c r="H15" s="6" t="s">
        <v>651</v>
      </c>
    </row>
    <row r="16" ht="46" customHeight="1" spans="1:8">
      <c r="A16" s="6" t="s">
        <v>652</v>
      </c>
      <c r="B16" s="6" t="s">
        <v>35</v>
      </c>
      <c r="C16" s="6" t="s">
        <v>75</v>
      </c>
      <c r="D16" s="6" t="s">
        <v>625</v>
      </c>
      <c r="E16" s="6" t="s">
        <v>653</v>
      </c>
      <c r="F16" s="6" t="s">
        <v>654</v>
      </c>
      <c r="G16" s="6" t="s">
        <v>606</v>
      </c>
      <c r="H16" s="6" t="s">
        <v>655</v>
      </c>
    </row>
    <row r="17" ht="46" customHeight="1" spans="1:8">
      <c r="A17" s="6" t="s">
        <v>656</v>
      </c>
      <c r="B17" s="6" t="s">
        <v>35</v>
      </c>
      <c r="C17" s="6" t="s">
        <v>657</v>
      </c>
      <c r="D17" s="6" t="s">
        <v>658</v>
      </c>
      <c r="E17" s="6" t="s">
        <v>659</v>
      </c>
      <c r="F17" s="6" t="s">
        <v>660</v>
      </c>
      <c r="G17" s="6" t="s">
        <v>606</v>
      </c>
      <c r="H17" s="6" t="s">
        <v>661</v>
      </c>
    </row>
    <row r="18" ht="46" customHeight="1" spans="1:8">
      <c r="A18" s="6" t="s">
        <v>662</v>
      </c>
      <c r="B18" s="6" t="s">
        <v>35</v>
      </c>
      <c r="C18" s="6" t="s">
        <v>657</v>
      </c>
      <c r="D18" s="6" t="s">
        <v>658</v>
      </c>
      <c r="E18" s="6" t="s">
        <v>663</v>
      </c>
      <c r="F18" s="6" t="s">
        <v>663</v>
      </c>
      <c r="G18" s="6" t="s">
        <v>606</v>
      </c>
      <c r="H18" s="6" t="s">
        <v>664</v>
      </c>
    </row>
    <row r="19" ht="46" customHeight="1" spans="1:8">
      <c r="A19" s="6" t="s">
        <v>665</v>
      </c>
      <c r="B19" s="6" t="s">
        <v>35</v>
      </c>
      <c r="C19" s="6" t="s">
        <v>657</v>
      </c>
      <c r="D19" s="6" t="s">
        <v>658</v>
      </c>
      <c r="E19" s="6" t="s">
        <v>666</v>
      </c>
      <c r="F19" s="6" t="s">
        <v>666</v>
      </c>
      <c r="G19" s="6" t="s">
        <v>606</v>
      </c>
      <c r="H19" s="6" t="s">
        <v>664</v>
      </c>
    </row>
    <row r="20" ht="46" customHeight="1" spans="1:8">
      <c r="A20" s="6" t="s">
        <v>667</v>
      </c>
      <c r="B20" s="6" t="s">
        <v>35</v>
      </c>
      <c r="C20" s="6" t="s">
        <v>657</v>
      </c>
      <c r="D20" s="6" t="s">
        <v>658</v>
      </c>
      <c r="E20" s="6" t="s">
        <v>668</v>
      </c>
      <c r="F20" s="6" t="s">
        <v>668</v>
      </c>
      <c r="G20" s="6" t="s">
        <v>669</v>
      </c>
      <c r="H20" s="6" t="s">
        <v>670</v>
      </c>
    </row>
    <row r="21" ht="46" customHeight="1" spans="1:8">
      <c r="A21" s="6" t="s">
        <v>671</v>
      </c>
      <c r="B21" s="6" t="s">
        <v>35</v>
      </c>
      <c r="C21" s="6" t="s">
        <v>84</v>
      </c>
      <c r="D21" s="6" t="s">
        <v>672</v>
      </c>
      <c r="E21" s="6" t="s">
        <v>673</v>
      </c>
      <c r="F21" s="6" t="s">
        <v>673</v>
      </c>
      <c r="G21" s="6" t="s">
        <v>606</v>
      </c>
      <c r="H21" s="6" t="s">
        <v>674</v>
      </c>
    </row>
    <row r="22" ht="46" customHeight="1" spans="1:8">
      <c r="A22" s="6" t="s">
        <v>675</v>
      </c>
      <c r="B22" s="6" t="s">
        <v>35</v>
      </c>
      <c r="C22" s="6" t="s">
        <v>84</v>
      </c>
      <c r="D22" s="6" t="s">
        <v>672</v>
      </c>
      <c r="E22" s="6" t="s">
        <v>676</v>
      </c>
      <c r="F22" s="6" t="s">
        <v>676</v>
      </c>
      <c r="G22" s="6" t="s">
        <v>606</v>
      </c>
      <c r="H22" s="6" t="s">
        <v>677</v>
      </c>
    </row>
    <row r="23" ht="46" customHeight="1" spans="1:8">
      <c r="A23" s="6" t="s">
        <v>678</v>
      </c>
      <c r="B23" s="6" t="s">
        <v>35</v>
      </c>
      <c r="C23" s="6" t="s">
        <v>84</v>
      </c>
      <c r="D23" s="6" t="s">
        <v>672</v>
      </c>
      <c r="E23" s="6" t="s">
        <v>152</v>
      </c>
      <c r="F23" s="6" t="s">
        <v>152</v>
      </c>
      <c r="G23" s="6" t="s">
        <v>606</v>
      </c>
      <c r="H23" s="6" t="s">
        <v>679</v>
      </c>
    </row>
    <row r="24" ht="46" customHeight="1" spans="1:8">
      <c r="A24" s="6" t="s">
        <v>680</v>
      </c>
      <c r="B24" s="6" t="s">
        <v>98</v>
      </c>
      <c r="C24" s="6" t="s">
        <v>681</v>
      </c>
      <c r="D24" s="6" t="s">
        <v>99</v>
      </c>
      <c r="E24" s="6" t="s">
        <v>682</v>
      </c>
      <c r="F24" s="6" t="s">
        <v>600</v>
      </c>
      <c r="G24" s="6" t="s">
        <v>683</v>
      </c>
      <c r="H24" s="6" t="s">
        <v>684</v>
      </c>
    </row>
    <row r="25" ht="46" customHeight="1" spans="1:8">
      <c r="A25" s="6" t="s">
        <v>685</v>
      </c>
      <c r="B25" s="6" t="s">
        <v>98</v>
      </c>
      <c r="C25" s="6" t="s">
        <v>104</v>
      </c>
      <c r="D25" s="6" t="s">
        <v>686</v>
      </c>
      <c r="E25" s="6" t="s">
        <v>687</v>
      </c>
      <c r="F25" s="6" t="s">
        <v>688</v>
      </c>
      <c r="G25" s="6" t="s">
        <v>683</v>
      </c>
      <c r="H25" s="6" t="s">
        <v>689</v>
      </c>
    </row>
    <row r="26" ht="46" customHeight="1" spans="1:8">
      <c r="A26" s="6" t="s">
        <v>690</v>
      </c>
      <c r="B26" s="6" t="s">
        <v>98</v>
      </c>
      <c r="C26" s="6" t="s">
        <v>691</v>
      </c>
      <c r="D26" s="6" t="s">
        <v>692</v>
      </c>
      <c r="E26" s="6" t="s">
        <v>693</v>
      </c>
      <c r="F26" s="6" t="s">
        <v>694</v>
      </c>
      <c r="G26" s="6" t="s">
        <v>683</v>
      </c>
      <c r="H26" s="6" t="s">
        <v>695</v>
      </c>
    </row>
    <row r="27" ht="46" customHeight="1" spans="1:8">
      <c r="A27" s="6" t="s">
        <v>696</v>
      </c>
      <c r="B27" s="6" t="s">
        <v>98</v>
      </c>
      <c r="C27" s="6" t="s">
        <v>691</v>
      </c>
      <c r="D27" s="6" t="s">
        <v>697</v>
      </c>
      <c r="E27" s="6" t="s">
        <v>698</v>
      </c>
      <c r="F27" s="6" t="s">
        <v>699</v>
      </c>
      <c r="G27" s="6" t="s">
        <v>700</v>
      </c>
      <c r="H27" s="6" t="s">
        <v>701</v>
      </c>
    </row>
    <row r="28" ht="46" customHeight="1" spans="1:8">
      <c r="A28" s="6" t="s">
        <v>702</v>
      </c>
      <c r="B28" s="6" t="s">
        <v>98</v>
      </c>
      <c r="C28" s="6" t="s">
        <v>703</v>
      </c>
      <c r="D28" s="6" t="s">
        <v>692</v>
      </c>
      <c r="E28" s="6" t="s">
        <v>704</v>
      </c>
      <c r="F28" s="6" t="s">
        <v>704</v>
      </c>
      <c r="G28" s="6" t="s">
        <v>683</v>
      </c>
      <c r="H28" s="6" t="s">
        <v>705</v>
      </c>
    </row>
    <row r="29" ht="46" customHeight="1" spans="1:8">
      <c r="A29" s="6" t="s">
        <v>706</v>
      </c>
      <c r="B29" s="6" t="s">
        <v>98</v>
      </c>
      <c r="C29" s="6" t="s">
        <v>703</v>
      </c>
      <c r="D29" s="6" t="s">
        <v>707</v>
      </c>
      <c r="E29" s="6" t="s">
        <v>708</v>
      </c>
      <c r="F29" s="6" t="s">
        <v>709</v>
      </c>
      <c r="G29" s="6" t="s">
        <v>683</v>
      </c>
      <c r="H29" s="6" t="s">
        <v>710</v>
      </c>
    </row>
    <row r="30" ht="46" customHeight="1" spans="1:8">
      <c r="A30" s="6" t="s">
        <v>711</v>
      </c>
      <c r="B30" s="6" t="s">
        <v>98</v>
      </c>
      <c r="C30" s="6" t="s">
        <v>703</v>
      </c>
      <c r="D30" s="6" t="s">
        <v>697</v>
      </c>
      <c r="E30" s="6" t="s">
        <v>712</v>
      </c>
      <c r="F30" s="6" t="s">
        <v>713</v>
      </c>
      <c r="G30" s="6" t="s">
        <v>700</v>
      </c>
      <c r="H30" s="6" t="s">
        <v>714</v>
      </c>
    </row>
    <row r="31" ht="46" customHeight="1" spans="1:8">
      <c r="A31" s="6" t="s">
        <v>715</v>
      </c>
      <c r="B31" s="6" t="s">
        <v>98</v>
      </c>
      <c r="C31" s="6" t="s">
        <v>128</v>
      </c>
      <c r="D31" s="6" t="s">
        <v>598</v>
      </c>
      <c r="E31" s="6" t="s">
        <v>716</v>
      </c>
      <c r="F31" s="6" t="s">
        <v>600</v>
      </c>
      <c r="G31" s="6" t="s">
        <v>683</v>
      </c>
      <c r="H31" s="6" t="s">
        <v>717</v>
      </c>
    </row>
    <row r="32" ht="46" customHeight="1" spans="1:8">
      <c r="A32" s="6" t="s">
        <v>718</v>
      </c>
      <c r="B32" s="6" t="s">
        <v>98</v>
      </c>
      <c r="C32" s="6" t="s">
        <v>719</v>
      </c>
      <c r="D32" s="6" t="s">
        <v>720</v>
      </c>
      <c r="E32" s="6" t="s">
        <v>621</v>
      </c>
      <c r="F32" s="6" t="s">
        <v>721</v>
      </c>
      <c r="G32" s="6" t="s">
        <v>683</v>
      </c>
      <c r="H32" s="6" t="s">
        <v>722</v>
      </c>
    </row>
    <row r="33" ht="46" customHeight="1" spans="1:8">
      <c r="A33" s="6" t="s">
        <v>723</v>
      </c>
      <c r="B33" s="6" t="s">
        <v>98</v>
      </c>
      <c r="C33" s="6" t="s">
        <v>719</v>
      </c>
      <c r="D33" s="6" t="s">
        <v>640</v>
      </c>
      <c r="E33" s="6" t="s">
        <v>724</v>
      </c>
      <c r="F33" s="6" t="s">
        <v>725</v>
      </c>
      <c r="G33" s="6" t="s">
        <v>683</v>
      </c>
      <c r="H33" s="6" t="s">
        <v>726</v>
      </c>
    </row>
    <row r="34" ht="46" customHeight="1" spans="1:8">
      <c r="A34" s="6" t="s">
        <v>727</v>
      </c>
      <c r="B34" s="6" t="s">
        <v>98</v>
      </c>
      <c r="C34" s="6" t="s">
        <v>147</v>
      </c>
      <c r="D34" s="6" t="s">
        <v>625</v>
      </c>
      <c r="E34" s="6" t="s">
        <v>728</v>
      </c>
      <c r="F34" s="6" t="s">
        <v>728</v>
      </c>
      <c r="G34" s="6" t="s">
        <v>683</v>
      </c>
      <c r="H34" s="6" t="s">
        <v>729</v>
      </c>
    </row>
    <row r="35" ht="46" customHeight="1" spans="1:8">
      <c r="A35" s="6" t="s">
        <v>730</v>
      </c>
      <c r="B35" s="6" t="s">
        <v>152</v>
      </c>
      <c r="C35" s="6" t="s">
        <v>153</v>
      </c>
      <c r="D35" s="6" t="s">
        <v>731</v>
      </c>
      <c r="E35" s="6" t="s">
        <v>732</v>
      </c>
      <c r="F35" s="6" t="s">
        <v>733</v>
      </c>
      <c r="G35" s="6" t="s">
        <v>734</v>
      </c>
      <c r="H35" s="6" t="s">
        <v>735</v>
      </c>
    </row>
    <row r="36" ht="46" customHeight="1" spans="1:8">
      <c r="A36" s="6" t="s">
        <v>736</v>
      </c>
      <c r="B36" s="6" t="s">
        <v>152</v>
      </c>
      <c r="C36" s="6" t="s">
        <v>153</v>
      </c>
      <c r="D36" s="6" t="s">
        <v>737</v>
      </c>
      <c r="E36" s="6" t="s">
        <v>738</v>
      </c>
      <c r="F36" s="6" t="s">
        <v>739</v>
      </c>
      <c r="G36" s="6" t="s">
        <v>734</v>
      </c>
      <c r="H36" s="6" t="s">
        <v>740</v>
      </c>
    </row>
    <row r="37" ht="46" customHeight="1" spans="1:8">
      <c r="A37" s="6" t="s">
        <v>741</v>
      </c>
      <c r="B37" s="6" t="s">
        <v>152</v>
      </c>
      <c r="C37" s="6" t="s">
        <v>162</v>
      </c>
      <c r="D37" s="6" t="s">
        <v>742</v>
      </c>
      <c r="E37" s="6" t="s">
        <v>743</v>
      </c>
      <c r="F37" s="6" t="s">
        <v>744</v>
      </c>
      <c r="G37" s="6" t="s">
        <v>734</v>
      </c>
      <c r="H37" s="6" t="s">
        <v>745</v>
      </c>
    </row>
    <row r="38" ht="46" customHeight="1" spans="1:8">
      <c r="A38" s="6" t="s">
        <v>746</v>
      </c>
      <c r="B38" s="6" t="s">
        <v>152</v>
      </c>
      <c r="C38" s="6" t="s">
        <v>162</v>
      </c>
      <c r="D38" s="6" t="s">
        <v>742</v>
      </c>
      <c r="E38" s="6" t="s">
        <v>621</v>
      </c>
      <c r="F38" s="6" t="s">
        <v>747</v>
      </c>
      <c r="G38" s="6" t="s">
        <v>734</v>
      </c>
      <c r="H38" s="6" t="s">
        <v>748</v>
      </c>
    </row>
    <row r="39" ht="46" customHeight="1" spans="1:8">
      <c r="A39" s="6" t="s">
        <v>749</v>
      </c>
      <c r="B39" s="6" t="s">
        <v>152</v>
      </c>
      <c r="C39" s="6" t="s">
        <v>162</v>
      </c>
      <c r="D39" s="6" t="s">
        <v>742</v>
      </c>
      <c r="E39" s="6" t="s">
        <v>621</v>
      </c>
      <c r="F39" s="6" t="s">
        <v>750</v>
      </c>
      <c r="G39" s="6" t="s">
        <v>734</v>
      </c>
      <c r="H39" s="6" t="s">
        <v>751</v>
      </c>
    </row>
    <row r="40" ht="46" customHeight="1" spans="1:8">
      <c r="A40" s="6" t="s">
        <v>752</v>
      </c>
      <c r="B40" s="6" t="s">
        <v>152</v>
      </c>
      <c r="C40" s="6" t="s">
        <v>162</v>
      </c>
      <c r="D40" s="6" t="s">
        <v>742</v>
      </c>
      <c r="E40" s="6" t="s">
        <v>621</v>
      </c>
      <c r="F40" s="6" t="s">
        <v>753</v>
      </c>
      <c r="G40" s="6" t="s">
        <v>734</v>
      </c>
      <c r="H40" s="6" t="s">
        <v>754</v>
      </c>
    </row>
    <row r="41" ht="46" customHeight="1" spans="1:8">
      <c r="A41" s="6" t="s">
        <v>755</v>
      </c>
      <c r="B41" s="6" t="s">
        <v>152</v>
      </c>
      <c r="C41" s="6" t="s">
        <v>171</v>
      </c>
      <c r="D41" s="6" t="s">
        <v>742</v>
      </c>
      <c r="E41" s="6" t="s">
        <v>756</v>
      </c>
      <c r="F41" s="6" t="s">
        <v>757</v>
      </c>
      <c r="G41" s="6" t="s">
        <v>758</v>
      </c>
      <c r="H41" s="6" t="s">
        <v>759</v>
      </c>
    </row>
    <row r="42" ht="46" customHeight="1" spans="1:8">
      <c r="A42" s="6" t="s">
        <v>760</v>
      </c>
      <c r="B42" s="6" t="s">
        <v>152</v>
      </c>
      <c r="C42" s="6" t="s">
        <v>176</v>
      </c>
      <c r="D42" s="6" t="s">
        <v>99</v>
      </c>
      <c r="E42" s="6" t="s">
        <v>761</v>
      </c>
      <c r="F42" s="6" t="s">
        <v>762</v>
      </c>
      <c r="G42" s="6" t="s">
        <v>734</v>
      </c>
      <c r="H42" s="6" t="s">
        <v>763</v>
      </c>
    </row>
    <row r="43" ht="46" customHeight="1" spans="1:8">
      <c r="A43" s="6" t="s">
        <v>764</v>
      </c>
      <c r="B43" s="6" t="s">
        <v>152</v>
      </c>
      <c r="C43" s="6" t="s">
        <v>176</v>
      </c>
      <c r="D43" s="6" t="s">
        <v>625</v>
      </c>
      <c r="E43" s="6" t="s">
        <v>765</v>
      </c>
      <c r="F43" s="6" t="s">
        <v>766</v>
      </c>
      <c r="G43" s="6" t="s">
        <v>734</v>
      </c>
      <c r="H43" s="6" t="s">
        <v>767</v>
      </c>
    </row>
    <row r="44" ht="46" customHeight="1" spans="1:8">
      <c r="A44" s="6" t="s">
        <v>768</v>
      </c>
      <c r="B44" s="6" t="s">
        <v>152</v>
      </c>
      <c r="C44" s="6" t="s">
        <v>176</v>
      </c>
      <c r="D44" s="6" t="s">
        <v>769</v>
      </c>
      <c r="E44" s="6" t="s">
        <v>770</v>
      </c>
      <c r="F44" s="6" t="s">
        <v>771</v>
      </c>
      <c r="G44" s="6" t="s">
        <v>734</v>
      </c>
      <c r="H44" s="6" t="s">
        <v>772</v>
      </c>
    </row>
    <row r="45" ht="46" customHeight="1" spans="1:8">
      <c r="A45" s="6" t="s">
        <v>773</v>
      </c>
      <c r="B45" s="6" t="s">
        <v>152</v>
      </c>
      <c r="C45" s="6" t="s">
        <v>186</v>
      </c>
      <c r="D45" s="6" t="s">
        <v>598</v>
      </c>
      <c r="E45" s="6" t="s">
        <v>774</v>
      </c>
      <c r="F45" s="6" t="s">
        <v>775</v>
      </c>
      <c r="G45" s="6" t="s">
        <v>734</v>
      </c>
      <c r="H45" s="6" t="s">
        <v>776</v>
      </c>
    </row>
    <row r="46" ht="46" customHeight="1" spans="1:8">
      <c r="A46" s="6" t="s">
        <v>777</v>
      </c>
      <c r="B46" s="6" t="s">
        <v>192</v>
      </c>
      <c r="C46" s="6" t="s">
        <v>778</v>
      </c>
      <c r="D46" s="6" t="s">
        <v>779</v>
      </c>
      <c r="E46" s="6" t="s">
        <v>780</v>
      </c>
      <c r="F46" s="6" t="s">
        <v>781</v>
      </c>
      <c r="G46" s="6" t="s">
        <v>782</v>
      </c>
      <c r="H46" s="6" t="s">
        <v>783</v>
      </c>
    </row>
    <row r="47" ht="46" customHeight="1" spans="1:8">
      <c r="A47" s="6" t="s">
        <v>784</v>
      </c>
      <c r="B47" s="7" t="s">
        <v>192</v>
      </c>
      <c r="C47" s="7" t="s">
        <v>785</v>
      </c>
      <c r="D47" s="7" t="s">
        <v>786</v>
      </c>
      <c r="E47" s="7" t="s">
        <v>787</v>
      </c>
      <c r="F47" s="7" t="s">
        <v>788</v>
      </c>
      <c r="G47" s="7" t="s">
        <v>789</v>
      </c>
      <c r="H47" s="7" t="s">
        <v>790</v>
      </c>
    </row>
  </sheetData>
  <mergeCells count="2">
    <mergeCell ref="A1:H1"/>
    <mergeCell ref="A2:H2"/>
  </mergeCells>
  <dataValidations count="1">
    <dataValidation type="list" sqref="B4:B16 B17:B47">
      <formula1>"主页,登录页,Profile,Logo"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总览</vt:lpstr>
      <vt:lpstr>前端问题汇总</vt:lpstr>
      <vt:lpstr>后台订单管理</vt:lpstr>
      <vt:lpstr>订单字段与状态</vt:lpstr>
      <vt:lpstr>开发优先级</vt:lpstr>
      <vt:lpstr>效果图文案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SofiaCao</cp:lastModifiedBy>
  <dcterms:created xsi:type="dcterms:W3CDTF">2026-08-19T17:19:32Z</dcterms:created>
  <dcterms:modified xsi:type="dcterms:W3CDTF">2026-08-19T17:26:09Z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3E32FA85E7DC3532F1AE856A69426F23_42</vt:lpwstr>
  </property>
  <property fmtid="{D5CDD505-2E9C-101B-9397-08002B2CF9AE}" pid="3" name="KSOProductBuildVer">
    <vt:lpwstr>2052-12.1.23153.23153</vt:lpwstr>
  </property>
</Properties>
</file>