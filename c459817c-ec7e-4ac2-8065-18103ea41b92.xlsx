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tabRatio="500"/>
  </bookViews>
  <sheets>
    <sheet name="License authorities" sheetId="1" r:id="rId1"/>
    <sheet name="Summary" sheetId="2" r:id="rId2"/>
    <sheet name="Read 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<sst xmlns="http://schemas.openxmlformats.org/spreadsheetml/2006/main" count="276" uniqueCount="140">
  <si>
    <t>#</t>
  </si>
  <si>
    <t>Emirate</t>
  </si>
  <si>
    <t>Licensing authority (dropdown text)</t>
  </si>
  <si>
    <t>Short name</t>
  </si>
  <si>
    <t>Type</t>
  </si>
  <si>
    <t>Can serve customers in Dubai homes?</t>
  </si>
  <si>
    <t>Notes</t>
  </si>
  <si>
    <t>Abu Dhabi</t>
  </si>
  <si>
    <t>Abu Dhabi Department of Economic Development</t>
  </si>
  <si>
    <t>ADDED</t>
  </si>
  <si>
    <t>Mainland</t>
  </si>
  <si>
    <t>Yes (mainland)</t>
  </si>
  <si>
    <t>Mainland licenses in Abu Dhabi, Al Ain and Al Dhafra</t>
  </si>
  <si>
    <t>Abu Dhabi Global Market</t>
  </si>
  <si>
    <t>ADGM</t>
  </si>
  <si>
    <t>Financial free zone</t>
  </si>
  <si>
    <t>Check</t>
  </si>
  <si>
    <t>Financial free zone, Al Maryah Island</t>
  </si>
  <si>
    <t>Khalifa Economic Zones Abu Dhabi</t>
  </si>
  <si>
    <t>KEZAD</t>
  </si>
  <si>
    <t>Free zone</t>
  </si>
  <si>
    <t>Includes Khalifa Industrial Zone and former ZonesCorp areas</t>
  </si>
  <si>
    <t>Masdar City Free Zone</t>
  </si>
  <si>
    <t>Masdar</t>
  </si>
  <si>
    <t>twofour54 (Abu Dhabi media zone)</t>
  </si>
  <si>
    <t>twofour54</t>
  </si>
  <si>
    <t>Media and entertainment</t>
  </si>
  <si>
    <t>Abu Dhabi Airports Free Zone</t>
  </si>
  <si>
    <t>ADAFZ</t>
  </si>
  <si>
    <t>Dubai</t>
  </si>
  <si>
    <t>Dubai Department of Economy and Tourism (formerly DED)</t>
  </si>
  <si>
    <t>DET</t>
  </si>
  <si>
    <t>Mainland licenses in Dubai</t>
  </si>
  <si>
    <t>Dubai Multi Commodities Centre</t>
  </si>
  <si>
    <t>DMCC</t>
  </si>
  <si>
    <t>Jumeirah Lakes Towers</t>
  </si>
  <si>
    <t>Jebel Ali Free Zone</t>
  </si>
  <si>
    <t>JAFZA</t>
  </si>
  <si>
    <t>Dubai Airport Freezone</t>
  </si>
  <si>
    <t>DAFZ</t>
  </si>
  <si>
    <t>Part of Dubai Integrated Economic Zones (DIEZ)</t>
  </si>
  <si>
    <t>Dubai Silicon Oasis</t>
  </si>
  <si>
    <t>DSO</t>
  </si>
  <si>
    <t>Part of DIEZ</t>
  </si>
  <si>
    <t>Dubai CommerCity</t>
  </si>
  <si>
    <t>DCC</t>
  </si>
  <si>
    <t>International Free Zone Authority</t>
  </si>
  <si>
    <t>IFZA</t>
  </si>
  <si>
    <t>Based in Dubai Silicon Oasis</t>
  </si>
  <si>
    <t>Meydan Free Zone</t>
  </si>
  <si>
    <t>Meydan FZ</t>
  </si>
  <si>
    <t>Dubai South Free Zone</t>
  </si>
  <si>
    <t>Dubai South</t>
  </si>
  <si>
    <t>Includes Dubai World Central</t>
  </si>
  <si>
    <t>Dubai World Trade Centre Free Zone</t>
  </si>
  <si>
    <t>DWTC</t>
  </si>
  <si>
    <t>Dubai International Financial Centre</t>
  </si>
  <si>
    <t>DIFC</t>
  </si>
  <si>
    <t>Dubai Healthcare City Authority</t>
  </si>
  <si>
    <t>DHCC</t>
  </si>
  <si>
    <t>Dubai Development Authority (TECOM free zones)</t>
  </si>
  <si>
    <t>DDA</t>
  </si>
  <si>
    <t>Dubai Internet City, Media City, Knowledge Park, Studio City, Production City, Outsource City, Science Park, Design District (d3) and others</t>
  </si>
  <si>
    <t>Dubai Maritime City</t>
  </si>
  <si>
    <t>DMC</t>
  </si>
  <si>
    <t>International Humanitarian City</t>
  </si>
  <si>
    <t>IHC</t>
  </si>
  <si>
    <t>Humanitarian organisations only</t>
  </si>
  <si>
    <t>Expo City Dubai Free Zone</t>
  </si>
  <si>
    <t>Expo City</t>
  </si>
  <si>
    <t>Jebel Ali Free Zone Offshore</t>
  </si>
  <si>
    <t>JAFZA Offshore</t>
  </si>
  <si>
    <t>Offshore</t>
  </si>
  <si>
    <t>No</t>
  </si>
  <si>
    <t>Offshore company — cannot trade inside UAE</t>
  </si>
  <si>
    <t>Sharjah</t>
  </si>
  <si>
    <t>Sharjah Economic Development Department</t>
  </si>
  <si>
    <t>SEDD</t>
  </si>
  <si>
    <t>Mainland licenses in Sharjah, incl. Khor Fakkan and Kalba</t>
  </si>
  <si>
    <t>Sharjah Airport International Free Zone</t>
  </si>
  <si>
    <t>SAIF Zone</t>
  </si>
  <si>
    <t>Hamriyah Free Zone</t>
  </si>
  <si>
    <t>HFZA</t>
  </si>
  <si>
    <t>Sharjah Media City</t>
  </si>
  <si>
    <t>Shams</t>
  </si>
  <si>
    <t>Sharjah Publishing City Free Zone</t>
  </si>
  <si>
    <t>SPC</t>
  </si>
  <si>
    <t>Sharjah Research, Technology and Innovation Park</t>
  </si>
  <si>
    <t>SRTIP</t>
  </si>
  <si>
    <t>Sharjah Healthcare City</t>
  </si>
  <si>
    <t>SHCC</t>
  </si>
  <si>
    <t>Ajman</t>
  </si>
  <si>
    <t>Ajman Department of Economic Development</t>
  </si>
  <si>
    <t>Ajman DED</t>
  </si>
  <si>
    <t>Mainland licenses in Ajman</t>
  </si>
  <si>
    <t>Ajman Free Zone</t>
  </si>
  <si>
    <t>AFZ</t>
  </si>
  <si>
    <t>Ajman Media City Free Zone</t>
  </si>
  <si>
    <t>AMC</t>
  </si>
  <si>
    <t>Ajman NuVentures Centre Free Zone</t>
  </si>
  <si>
    <t>ANCFZ</t>
  </si>
  <si>
    <t>Umm Al Quwain</t>
  </si>
  <si>
    <t>Umm Al Quwain Department of Economic Development</t>
  </si>
  <si>
    <t>UAQ DED</t>
  </si>
  <si>
    <t>Mainland licenses in Umm Al Quwain</t>
  </si>
  <si>
    <t>Umm Al Quwain Free Trade Zone</t>
  </si>
  <si>
    <t>UAQ FTZ</t>
  </si>
  <si>
    <t>Ras Al Khaimah</t>
  </si>
  <si>
    <t>Ras Al Khaimah Department of Economic Development</t>
  </si>
  <si>
    <t>RAK DED</t>
  </si>
  <si>
    <t>Mainland licenses in Ras Al Khaimah</t>
  </si>
  <si>
    <t>Ras Al Khaimah Economic Zone</t>
  </si>
  <si>
    <t>RAKEZ</t>
  </si>
  <si>
    <t>RAK Digital Assets Oasis</t>
  </si>
  <si>
    <t>RAK DAO</t>
  </si>
  <si>
    <t>Digital / virtual asset companies</t>
  </si>
  <si>
    <t>RAK Maritime City Free Zone</t>
  </si>
  <si>
    <t>RAK Maritime City</t>
  </si>
  <si>
    <t>RAK International Corporate Centre</t>
  </si>
  <si>
    <t>RAK ICC</t>
  </si>
  <si>
    <t>Fujairah</t>
  </si>
  <si>
    <t>Fujairah Department of Industry and Economy</t>
  </si>
  <si>
    <t>Fujairah DIE</t>
  </si>
  <si>
    <t>Mainland licenses in Fujairah</t>
  </si>
  <si>
    <t>Fujairah Free Zone</t>
  </si>
  <si>
    <t>FFZ</t>
  </si>
  <si>
    <t>Fujairah Creative City Free Zone</t>
  </si>
  <si>
    <t>Creative City</t>
  </si>
  <si>
    <t>Other</t>
  </si>
  <si>
    <t>Other (type the authority name)</t>
  </si>
  <si>
    <t>—</t>
  </si>
  <si>
    <t>Fallback option so no supplier is blocked</t>
  </si>
  <si>
    <t>Total</t>
  </si>
  <si>
    <t>How to use</t>
  </si>
  <si>
    <t>• Column C is the text to show in the "Trade license issued by" dropdown, grouped by Emirate.</t>
  </si>
  <si>
    <t>• "Other" is a fallback: show a text box so the supplier can type the authority.</t>
  </si>
  <si>
    <t>• Mainland licenses can work anywhere in the UAE mainland. Free zone and offshore licenses usually need extra permits to serve customers outside their zone — HourX should check these during approval ("Check" in column F).</t>
  </si>
  <si>
    <t>Important</t>
  </si>
  <si>
    <t>• This list was put together from general knowledge (up to mid-2026). It could not be checked online in this session.</t>
  </si>
  <si>
    <t>• Free zones merge and rename from time to time (e.g. KEZAD, DIEZ). Please confirm the list with each authority's official website or your PRO before the dev team uses it.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</si>
</sst>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6">
    <font>
      <sz val="11"/>
      <color theme="1"/>
      <name val="Calibri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D1B2E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2C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3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9D2C2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D1B2E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uthorities" displayName="Authorities" ref="A1:G46" totalsRowShown="0">
  <autoFilter xmlns:etc="http://www.wps.cn/officeDocument/2017/etCustomData" ref="A1:G46" etc:filterBottomFollowUsedRange="0"/>
  <tableColumns count="7">
    <tableColumn id="1" name="#"/>
    <tableColumn id="2" name="Emirate"/>
    <tableColumn id="3" name="Licensing authority (dropdown text)"/>
    <tableColumn id="4" name="Short name"/>
    <tableColumn id="5" name="Type"/>
    <tableColumn id="6" name="Can serve customers in Dubai homes?"/>
    <tableColumn id="7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8.67619047619048" defaultRowHeight="15" outlineLevelCol="6"/>
  <cols>
    <col min="1" max="1" width="5" customWidth="1"/>
    <col min="2" max="2" width="16" customWidth="1"/>
    <col min="3" max="3" width="52" customWidth="1"/>
    <col min="4" max="5" width="18" customWidth="1"/>
    <col min="6" max="6" width="22" customWidth="1"/>
    <col min="7" max="7" width="60" customWidth="1"/>
  </cols>
  <sheetData>
    <row r="1" ht="25.5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</row>
    <row r="3" spans="1:7">
      <c r="A3" s="6">
        <v>2</v>
      </c>
      <c r="B3" s="6" t="s">
        <v>7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</row>
    <row r="4" spans="1:7">
      <c r="A4" s="6">
        <v>3</v>
      </c>
      <c r="B4" s="6" t="s">
        <v>7</v>
      </c>
      <c r="C4" s="6" t="s">
        <v>18</v>
      </c>
      <c r="D4" s="6" t="s">
        <v>19</v>
      </c>
      <c r="E4" s="6" t="s">
        <v>20</v>
      </c>
      <c r="F4" s="6" t="s">
        <v>16</v>
      </c>
      <c r="G4" s="6" t="s">
        <v>21</v>
      </c>
    </row>
    <row r="5" spans="1:7">
      <c r="A5" s="6">
        <v>4</v>
      </c>
      <c r="B5" s="6" t="s">
        <v>7</v>
      </c>
      <c r="C5" s="6" t="s">
        <v>22</v>
      </c>
      <c r="D5" s="6" t="s">
        <v>23</v>
      </c>
      <c r="E5" s="6" t="s">
        <v>20</v>
      </c>
      <c r="F5" s="6" t="s">
        <v>16</v>
      </c>
      <c r="G5" s="6"/>
    </row>
    <row r="6" spans="1:7">
      <c r="A6" s="6">
        <v>5</v>
      </c>
      <c r="B6" s="6" t="s">
        <v>7</v>
      </c>
      <c r="C6" s="6" t="s">
        <v>24</v>
      </c>
      <c r="D6" s="6" t="s">
        <v>25</v>
      </c>
      <c r="E6" s="6" t="s">
        <v>20</v>
      </c>
      <c r="F6" s="6" t="s">
        <v>16</v>
      </c>
      <c r="G6" s="6" t="s">
        <v>26</v>
      </c>
    </row>
    <row r="7" spans="1:7">
      <c r="A7" s="6">
        <v>6</v>
      </c>
      <c r="B7" s="6" t="s">
        <v>7</v>
      </c>
      <c r="C7" s="6" t="s">
        <v>27</v>
      </c>
      <c r="D7" s="6" t="s">
        <v>28</v>
      </c>
      <c r="E7" s="6" t="s">
        <v>20</v>
      </c>
      <c r="F7" s="6" t="s">
        <v>16</v>
      </c>
      <c r="G7" s="6"/>
    </row>
    <row r="8" spans="1:7">
      <c r="A8" s="6">
        <v>7</v>
      </c>
      <c r="B8" s="6" t="s">
        <v>29</v>
      </c>
      <c r="C8" s="6" t="s">
        <v>30</v>
      </c>
      <c r="D8" s="6" t="s">
        <v>31</v>
      </c>
      <c r="E8" s="6" t="s">
        <v>10</v>
      </c>
      <c r="F8" s="6" t="s">
        <v>11</v>
      </c>
      <c r="G8" s="6" t="s">
        <v>32</v>
      </c>
    </row>
    <row r="9" spans="1:7">
      <c r="A9" s="6">
        <v>8</v>
      </c>
      <c r="B9" s="6" t="s">
        <v>29</v>
      </c>
      <c r="C9" s="6" t="s">
        <v>33</v>
      </c>
      <c r="D9" s="6" t="s">
        <v>34</v>
      </c>
      <c r="E9" s="6" t="s">
        <v>20</v>
      </c>
      <c r="F9" s="6" t="s">
        <v>16</v>
      </c>
      <c r="G9" s="6" t="s">
        <v>35</v>
      </c>
    </row>
    <row r="10" spans="1:7">
      <c r="A10" s="6">
        <v>9</v>
      </c>
      <c r="B10" s="6" t="s">
        <v>29</v>
      </c>
      <c r="C10" s="6" t="s">
        <v>36</v>
      </c>
      <c r="D10" s="6" t="s">
        <v>37</v>
      </c>
      <c r="E10" s="6" t="s">
        <v>20</v>
      </c>
      <c r="F10" s="6" t="s">
        <v>16</v>
      </c>
      <c r="G10" s="6"/>
    </row>
    <row r="11" spans="1:7">
      <c r="A11" s="6">
        <v>10</v>
      </c>
      <c r="B11" s="6" t="s">
        <v>29</v>
      </c>
      <c r="C11" s="6" t="s">
        <v>38</v>
      </c>
      <c r="D11" s="6" t="s">
        <v>39</v>
      </c>
      <c r="E11" s="6" t="s">
        <v>20</v>
      </c>
      <c r="F11" s="6" t="s">
        <v>16</v>
      </c>
      <c r="G11" s="6" t="s">
        <v>40</v>
      </c>
    </row>
    <row r="12" spans="1:7">
      <c r="A12" s="6">
        <v>11</v>
      </c>
      <c r="B12" s="6" t="s">
        <v>29</v>
      </c>
      <c r="C12" s="6" t="s">
        <v>41</v>
      </c>
      <c r="D12" s="6" t="s">
        <v>42</v>
      </c>
      <c r="E12" s="6" t="s">
        <v>20</v>
      </c>
      <c r="F12" s="6" t="s">
        <v>16</v>
      </c>
      <c r="G12" s="6" t="s">
        <v>43</v>
      </c>
    </row>
    <row r="13" spans="1:7">
      <c r="A13" s="6">
        <v>12</v>
      </c>
      <c r="B13" s="6" t="s">
        <v>29</v>
      </c>
      <c r="C13" s="6" t="s">
        <v>44</v>
      </c>
      <c r="D13" s="6" t="s">
        <v>45</v>
      </c>
      <c r="E13" s="6" t="s">
        <v>20</v>
      </c>
      <c r="F13" s="6" t="s">
        <v>16</v>
      </c>
      <c r="G13" s="6" t="s">
        <v>43</v>
      </c>
    </row>
    <row r="14" spans="1:7">
      <c r="A14" s="6">
        <v>13</v>
      </c>
      <c r="B14" s="6" t="s">
        <v>29</v>
      </c>
      <c r="C14" s="6" t="s">
        <v>46</v>
      </c>
      <c r="D14" s="6" t="s">
        <v>47</v>
      </c>
      <c r="E14" s="6" t="s">
        <v>20</v>
      </c>
      <c r="F14" s="6" t="s">
        <v>16</v>
      </c>
      <c r="G14" s="6" t="s">
        <v>48</v>
      </c>
    </row>
    <row r="15" spans="1:7">
      <c r="A15" s="6">
        <v>14</v>
      </c>
      <c r="B15" s="6" t="s">
        <v>29</v>
      </c>
      <c r="C15" s="6" t="s">
        <v>49</v>
      </c>
      <c r="D15" s="6" t="s">
        <v>50</v>
      </c>
      <c r="E15" s="6" t="s">
        <v>20</v>
      </c>
      <c r="F15" s="6" t="s">
        <v>16</v>
      </c>
      <c r="G15" s="6"/>
    </row>
    <row r="16" spans="1:7">
      <c r="A16" s="6">
        <v>15</v>
      </c>
      <c r="B16" s="6" t="s">
        <v>29</v>
      </c>
      <c r="C16" s="6" t="s">
        <v>51</v>
      </c>
      <c r="D16" s="6" t="s">
        <v>52</v>
      </c>
      <c r="E16" s="6" t="s">
        <v>20</v>
      </c>
      <c r="F16" s="6" t="s">
        <v>16</v>
      </c>
      <c r="G16" s="6" t="s">
        <v>53</v>
      </c>
    </row>
    <row r="17" spans="1:7">
      <c r="A17" s="6">
        <v>16</v>
      </c>
      <c r="B17" s="6" t="s">
        <v>29</v>
      </c>
      <c r="C17" s="6" t="s">
        <v>54</v>
      </c>
      <c r="D17" s="6" t="s">
        <v>55</v>
      </c>
      <c r="E17" s="6" t="s">
        <v>20</v>
      </c>
      <c r="F17" s="6" t="s">
        <v>16</v>
      </c>
      <c r="G17" s="6"/>
    </row>
    <row r="18" spans="1:7">
      <c r="A18" s="6">
        <v>17</v>
      </c>
      <c r="B18" s="6" t="s">
        <v>29</v>
      </c>
      <c r="C18" s="6" t="s">
        <v>56</v>
      </c>
      <c r="D18" s="6" t="s">
        <v>57</v>
      </c>
      <c r="E18" s="6" t="s">
        <v>15</v>
      </c>
      <c r="F18" s="6" t="s">
        <v>16</v>
      </c>
      <c r="G18" s="6" t="s">
        <v>15</v>
      </c>
    </row>
    <row r="19" spans="1:7">
      <c r="A19" s="6">
        <v>18</v>
      </c>
      <c r="B19" s="6" t="s">
        <v>29</v>
      </c>
      <c r="C19" s="6" t="s">
        <v>58</v>
      </c>
      <c r="D19" s="6" t="s">
        <v>59</v>
      </c>
      <c r="E19" s="6" t="s">
        <v>20</v>
      </c>
      <c r="F19" s="6" t="s">
        <v>16</v>
      </c>
      <c r="G19" s="6"/>
    </row>
    <row r="20" ht="38.25" spans="1:7">
      <c r="A20" s="6">
        <v>19</v>
      </c>
      <c r="B20" s="6" t="s">
        <v>29</v>
      </c>
      <c r="C20" s="6" t="s">
        <v>60</v>
      </c>
      <c r="D20" s="6" t="s">
        <v>61</v>
      </c>
      <c r="E20" s="6" t="s">
        <v>20</v>
      </c>
      <c r="F20" s="6" t="s">
        <v>16</v>
      </c>
      <c r="G20" s="6" t="s">
        <v>62</v>
      </c>
    </row>
    <row r="21" spans="1:7">
      <c r="A21" s="6">
        <v>20</v>
      </c>
      <c r="B21" s="6" t="s">
        <v>29</v>
      </c>
      <c r="C21" s="6" t="s">
        <v>63</v>
      </c>
      <c r="D21" s="6" t="s">
        <v>64</v>
      </c>
      <c r="E21" s="6" t="s">
        <v>20</v>
      </c>
      <c r="F21" s="6" t="s">
        <v>16</v>
      </c>
      <c r="G21" s="6"/>
    </row>
    <row r="22" spans="1:7">
      <c r="A22" s="6">
        <v>21</v>
      </c>
      <c r="B22" s="6" t="s">
        <v>29</v>
      </c>
      <c r="C22" s="6" t="s">
        <v>65</v>
      </c>
      <c r="D22" s="6" t="s">
        <v>66</v>
      </c>
      <c r="E22" s="6" t="s">
        <v>20</v>
      </c>
      <c r="F22" s="6" t="s">
        <v>16</v>
      </c>
      <c r="G22" s="6" t="s">
        <v>67</v>
      </c>
    </row>
    <row r="23" spans="1:7">
      <c r="A23" s="6">
        <v>22</v>
      </c>
      <c r="B23" s="6" t="s">
        <v>29</v>
      </c>
      <c r="C23" s="6" t="s">
        <v>68</v>
      </c>
      <c r="D23" s="6" t="s">
        <v>69</v>
      </c>
      <c r="E23" s="6" t="s">
        <v>20</v>
      </c>
      <c r="F23" s="6" t="s">
        <v>16</v>
      </c>
      <c r="G23" s="6"/>
    </row>
    <row r="24" spans="1:7">
      <c r="A24" s="6">
        <v>23</v>
      </c>
      <c r="B24" s="6" t="s">
        <v>29</v>
      </c>
      <c r="C24" s="6" t="s">
        <v>70</v>
      </c>
      <c r="D24" s="6" t="s">
        <v>71</v>
      </c>
      <c r="E24" s="6" t="s">
        <v>72</v>
      </c>
      <c r="F24" s="6" t="s">
        <v>73</v>
      </c>
      <c r="G24" s="6" t="s">
        <v>74</v>
      </c>
    </row>
    <row r="25" spans="1:7">
      <c r="A25" s="6">
        <v>24</v>
      </c>
      <c r="B25" s="6" t="s">
        <v>75</v>
      </c>
      <c r="C25" s="6" t="s">
        <v>76</v>
      </c>
      <c r="D25" s="6" t="s">
        <v>77</v>
      </c>
      <c r="E25" s="6" t="s">
        <v>10</v>
      </c>
      <c r="F25" s="6" t="s">
        <v>11</v>
      </c>
      <c r="G25" s="6" t="s">
        <v>78</v>
      </c>
    </row>
    <row r="26" spans="1:7">
      <c r="A26" s="6">
        <v>25</v>
      </c>
      <c r="B26" s="6" t="s">
        <v>75</v>
      </c>
      <c r="C26" s="6" t="s">
        <v>79</v>
      </c>
      <c r="D26" s="6" t="s">
        <v>80</v>
      </c>
      <c r="E26" s="6" t="s">
        <v>20</v>
      </c>
      <c r="F26" s="6" t="s">
        <v>16</v>
      </c>
      <c r="G26" s="6"/>
    </row>
    <row r="27" spans="1:7">
      <c r="A27" s="6">
        <v>26</v>
      </c>
      <c r="B27" s="6" t="s">
        <v>75</v>
      </c>
      <c r="C27" s="6" t="s">
        <v>81</v>
      </c>
      <c r="D27" s="6" t="s">
        <v>82</v>
      </c>
      <c r="E27" s="6" t="s">
        <v>20</v>
      </c>
      <c r="F27" s="6" t="s">
        <v>16</v>
      </c>
      <c r="G27" s="6"/>
    </row>
    <row r="28" spans="1:7">
      <c r="A28" s="6">
        <v>27</v>
      </c>
      <c r="B28" s="6" t="s">
        <v>75</v>
      </c>
      <c r="C28" s="6" t="s">
        <v>83</v>
      </c>
      <c r="D28" s="6" t="s">
        <v>84</v>
      </c>
      <c r="E28" s="6" t="s">
        <v>20</v>
      </c>
      <c r="F28" s="6" t="s">
        <v>16</v>
      </c>
      <c r="G28" s="6"/>
    </row>
    <row r="29" spans="1:7">
      <c r="A29" s="6">
        <v>28</v>
      </c>
      <c r="B29" s="6" t="s">
        <v>75</v>
      </c>
      <c r="C29" s="6" t="s">
        <v>85</v>
      </c>
      <c r="D29" s="6" t="s">
        <v>86</v>
      </c>
      <c r="E29" s="6" t="s">
        <v>20</v>
      </c>
      <c r="F29" s="6" t="s">
        <v>16</v>
      </c>
      <c r="G29" s="6"/>
    </row>
    <row r="30" spans="1:7">
      <c r="A30" s="6">
        <v>29</v>
      </c>
      <c r="B30" s="6" t="s">
        <v>75</v>
      </c>
      <c r="C30" s="6" t="s">
        <v>87</v>
      </c>
      <c r="D30" s="6" t="s">
        <v>88</v>
      </c>
      <c r="E30" s="6" t="s">
        <v>20</v>
      </c>
      <c r="F30" s="6" t="s">
        <v>16</v>
      </c>
      <c r="G30" s="6"/>
    </row>
    <row r="31" spans="1:7">
      <c r="A31" s="6">
        <v>30</v>
      </c>
      <c r="B31" s="6" t="s">
        <v>75</v>
      </c>
      <c r="C31" s="6" t="s">
        <v>89</v>
      </c>
      <c r="D31" s="6" t="s">
        <v>90</v>
      </c>
      <c r="E31" s="6" t="s">
        <v>20</v>
      </c>
      <c r="F31" s="6" t="s">
        <v>16</v>
      </c>
      <c r="G31" s="6"/>
    </row>
    <row r="32" spans="1:7">
      <c r="A32" s="6">
        <v>31</v>
      </c>
      <c r="B32" s="6" t="s">
        <v>91</v>
      </c>
      <c r="C32" s="6" t="s">
        <v>92</v>
      </c>
      <c r="D32" s="6" t="s">
        <v>93</v>
      </c>
      <c r="E32" s="6" t="s">
        <v>10</v>
      </c>
      <c r="F32" s="6" t="s">
        <v>11</v>
      </c>
      <c r="G32" s="6" t="s">
        <v>94</v>
      </c>
    </row>
    <row r="33" spans="1:7">
      <c r="A33" s="6">
        <v>32</v>
      </c>
      <c r="B33" s="6" t="s">
        <v>91</v>
      </c>
      <c r="C33" s="6" t="s">
        <v>95</v>
      </c>
      <c r="D33" s="6" t="s">
        <v>96</v>
      </c>
      <c r="E33" s="6" t="s">
        <v>20</v>
      </c>
      <c r="F33" s="6" t="s">
        <v>16</v>
      </c>
      <c r="G33" s="6"/>
    </row>
    <row r="34" spans="1:7">
      <c r="A34" s="6">
        <v>33</v>
      </c>
      <c r="B34" s="6" t="s">
        <v>91</v>
      </c>
      <c r="C34" s="6" t="s">
        <v>97</v>
      </c>
      <c r="D34" s="6" t="s">
        <v>98</v>
      </c>
      <c r="E34" s="6" t="s">
        <v>20</v>
      </c>
      <c r="F34" s="6" t="s">
        <v>16</v>
      </c>
      <c r="G34" s="6"/>
    </row>
    <row r="35" spans="1:7">
      <c r="A35" s="6">
        <v>34</v>
      </c>
      <c r="B35" s="6" t="s">
        <v>91</v>
      </c>
      <c r="C35" s="6" t="s">
        <v>99</v>
      </c>
      <c r="D35" s="6" t="s">
        <v>100</v>
      </c>
      <c r="E35" s="6" t="s">
        <v>20</v>
      </c>
      <c r="F35" s="6" t="s">
        <v>16</v>
      </c>
      <c r="G35" s="6"/>
    </row>
    <row r="36" spans="1:7">
      <c r="A36" s="6">
        <v>35</v>
      </c>
      <c r="B36" s="6" t="s">
        <v>101</v>
      </c>
      <c r="C36" s="6" t="s">
        <v>102</v>
      </c>
      <c r="D36" s="6" t="s">
        <v>103</v>
      </c>
      <c r="E36" s="6" t="s">
        <v>10</v>
      </c>
      <c r="F36" s="6" t="s">
        <v>11</v>
      </c>
      <c r="G36" s="6" t="s">
        <v>104</v>
      </c>
    </row>
    <row r="37" spans="1:7">
      <c r="A37" s="6">
        <v>36</v>
      </c>
      <c r="B37" s="6" t="s">
        <v>101</v>
      </c>
      <c r="C37" s="6" t="s">
        <v>105</v>
      </c>
      <c r="D37" s="6" t="s">
        <v>106</v>
      </c>
      <c r="E37" s="6" t="s">
        <v>20</v>
      </c>
      <c r="F37" s="6" t="s">
        <v>16</v>
      </c>
      <c r="G37" s="6"/>
    </row>
    <row r="38" spans="1:7">
      <c r="A38" s="6">
        <v>37</v>
      </c>
      <c r="B38" s="6" t="s">
        <v>107</v>
      </c>
      <c r="C38" s="6" t="s">
        <v>108</v>
      </c>
      <c r="D38" s="6" t="s">
        <v>109</v>
      </c>
      <c r="E38" s="6" t="s">
        <v>10</v>
      </c>
      <c r="F38" s="6" t="s">
        <v>11</v>
      </c>
      <c r="G38" s="6" t="s">
        <v>110</v>
      </c>
    </row>
    <row r="39" spans="1:7">
      <c r="A39" s="6">
        <v>38</v>
      </c>
      <c r="B39" s="6" t="s">
        <v>107</v>
      </c>
      <c r="C39" s="6" t="s">
        <v>111</v>
      </c>
      <c r="D39" s="6" t="s">
        <v>112</v>
      </c>
      <c r="E39" s="6" t="s">
        <v>20</v>
      </c>
      <c r="F39" s="6" t="s">
        <v>16</v>
      </c>
      <c r="G39" s="6"/>
    </row>
    <row r="40" spans="1:7">
      <c r="A40" s="6">
        <v>39</v>
      </c>
      <c r="B40" s="6" t="s">
        <v>107</v>
      </c>
      <c r="C40" s="6" t="s">
        <v>113</v>
      </c>
      <c r="D40" s="6" t="s">
        <v>114</v>
      </c>
      <c r="E40" s="6" t="s">
        <v>20</v>
      </c>
      <c r="F40" s="6" t="s">
        <v>16</v>
      </c>
      <c r="G40" s="6" t="s">
        <v>115</v>
      </c>
    </row>
    <row r="41" spans="1:7">
      <c r="A41" s="6">
        <v>40</v>
      </c>
      <c r="B41" s="6" t="s">
        <v>107</v>
      </c>
      <c r="C41" s="6" t="s">
        <v>116</v>
      </c>
      <c r="D41" s="6" t="s">
        <v>117</v>
      </c>
      <c r="E41" s="6" t="s">
        <v>20</v>
      </c>
      <c r="F41" s="6" t="s">
        <v>16</v>
      </c>
      <c r="G41" s="6"/>
    </row>
    <row r="42" spans="1:7">
      <c r="A42" s="6">
        <v>41</v>
      </c>
      <c r="B42" s="6" t="s">
        <v>107</v>
      </c>
      <c r="C42" s="6" t="s">
        <v>118</v>
      </c>
      <c r="D42" s="6" t="s">
        <v>119</v>
      </c>
      <c r="E42" s="6" t="s">
        <v>72</v>
      </c>
      <c r="F42" s="6" t="s">
        <v>73</v>
      </c>
      <c r="G42" s="6" t="s">
        <v>74</v>
      </c>
    </row>
    <row r="43" spans="1:7">
      <c r="A43" s="6">
        <v>42</v>
      </c>
      <c r="B43" s="6" t="s">
        <v>120</v>
      </c>
      <c r="C43" s="6" t="s">
        <v>121</v>
      </c>
      <c r="D43" s="6" t="s">
        <v>122</v>
      </c>
      <c r="E43" s="6" t="s">
        <v>10</v>
      </c>
      <c r="F43" s="6" t="s">
        <v>11</v>
      </c>
      <c r="G43" s="6" t="s">
        <v>123</v>
      </c>
    </row>
    <row r="44" spans="1:7">
      <c r="A44" s="6">
        <v>43</v>
      </c>
      <c r="B44" s="6" t="s">
        <v>120</v>
      </c>
      <c r="C44" s="6" t="s">
        <v>124</v>
      </c>
      <c r="D44" s="6" t="s">
        <v>125</v>
      </c>
      <c r="E44" s="6" t="s">
        <v>20</v>
      </c>
      <c r="F44" s="6" t="s">
        <v>16</v>
      </c>
      <c r="G44" s="6"/>
    </row>
    <row r="45" spans="1:7">
      <c r="A45" s="6">
        <v>44</v>
      </c>
      <c r="B45" s="6" t="s">
        <v>120</v>
      </c>
      <c r="C45" s="6" t="s">
        <v>126</v>
      </c>
      <c r="D45" s="6" t="s">
        <v>127</v>
      </c>
      <c r="E45" s="6" t="s">
        <v>20</v>
      </c>
      <c r="F45" s="6" t="s">
        <v>16</v>
      </c>
      <c r="G45" s="6"/>
    </row>
    <row r="46" spans="1:7">
      <c r="A46" s="6">
        <v>45</v>
      </c>
      <c r="B46" s="6" t="s">
        <v>128</v>
      </c>
      <c r="C46" s="6" t="s">
        <v>129</v>
      </c>
      <c r="D46" s="6" t="s">
        <v>128</v>
      </c>
      <c r="E46" s="6" t="s">
        <v>130</v>
      </c>
      <c r="F46" s="6" t="s">
        <v>16</v>
      </c>
      <c r="G46" s="6" t="s">
        <v>131</v>
      </c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8.67619047619048" defaultRowHeight="15" outlineLevelCol="5"/>
  <cols>
    <col min="1" max="1" width="18" customWidth="1"/>
    <col min="2" max="6" width="16" customWidth="1"/>
  </cols>
  <sheetData>
    <row r="1" spans="1:6">
      <c r="A1" s="3" t="s">
        <v>1</v>
      </c>
      <c r="B1" s="3" t="s">
        <v>10</v>
      </c>
      <c r="C1" s="3" t="s">
        <v>20</v>
      </c>
      <c r="D1" s="3" t="s">
        <v>15</v>
      </c>
      <c r="E1" s="3" t="s">
        <v>72</v>
      </c>
      <c r="F1" s="3" t="s">
        <v>132</v>
      </c>
    </row>
    <row r="2" spans="1:6">
      <c r="A2" s="2" t="s">
        <v>7</v>
      </c>
      <c r="B2" s="2">
        <f>COUNTIFS('License authorities'!$B:$B,$A2,'License authorities'!$E:$E,B$1)</f>
        <v>1</v>
      </c>
      <c r="C2" s="2">
        <f>COUNTIFS('License authorities'!$B:$B,$A2,'License authorities'!$E:$E,C$1)</f>
        <v>4</v>
      </c>
      <c r="D2" s="2">
        <f>COUNTIFS('License authorities'!$B:$B,$A2,'License authorities'!$E:$E,D$1)</f>
        <v>1</v>
      </c>
      <c r="E2" s="2">
        <f>COUNTIFS('License authorities'!$B:$B,$A2,'License authorities'!$E:$E,E$1)</f>
        <v>0</v>
      </c>
      <c r="F2" s="2">
        <f t="shared" ref="F2:F8" si="0">SUM(B2:E2)</f>
        <v>6</v>
      </c>
    </row>
    <row r="3" spans="1:6">
      <c r="A3" s="2" t="s">
        <v>29</v>
      </c>
      <c r="B3" s="2">
        <f>COUNTIFS('License authorities'!$B:$B,$A3,'License authorities'!$E:$E,B$1)</f>
        <v>1</v>
      </c>
      <c r="C3" s="2">
        <f>COUNTIFS('License authorities'!$B:$B,$A3,'License authorities'!$E:$E,C$1)</f>
        <v>14</v>
      </c>
      <c r="D3" s="2">
        <f>COUNTIFS('License authorities'!$B:$B,$A3,'License authorities'!$E:$E,D$1)</f>
        <v>1</v>
      </c>
      <c r="E3" s="2">
        <f>COUNTIFS('License authorities'!$B:$B,$A3,'License authorities'!$E:$E,E$1)</f>
        <v>1</v>
      </c>
      <c r="F3" s="2">
        <f t="shared" si="0"/>
        <v>17</v>
      </c>
    </row>
    <row r="4" spans="1:6">
      <c r="A4" s="2" t="s">
        <v>75</v>
      </c>
      <c r="B4" s="2">
        <f>COUNTIFS('License authorities'!$B:$B,$A4,'License authorities'!$E:$E,B$1)</f>
        <v>1</v>
      </c>
      <c r="C4" s="2">
        <f>COUNTIFS('License authorities'!$B:$B,$A4,'License authorities'!$E:$E,C$1)</f>
        <v>6</v>
      </c>
      <c r="D4" s="2">
        <f>COUNTIFS('License authorities'!$B:$B,$A4,'License authorities'!$E:$E,D$1)</f>
        <v>0</v>
      </c>
      <c r="E4" s="2">
        <f>COUNTIFS('License authorities'!$B:$B,$A4,'License authorities'!$E:$E,E$1)</f>
        <v>0</v>
      </c>
      <c r="F4" s="2">
        <f t="shared" si="0"/>
        <v>7</v>
      </c>
    </row>
    <row r="5" spans="1:6">
      <c r="A5" s="2" t="s">
        <v>91</v>
      </c>
      <c r="B5" s="2">
        <f>COUNTIFS('License authorities'!$B:$B,$A5,'License authorities'!$E:$E,B$1)</f>
        <v>1</v>
      </c>
      <c r="C5" s="2">
        <f>COUNTIFS('License authorities'!$B:$B,$A5,'License authorities'!$E:$E,C$1)</f>
        <v>3</v>
      </c>
      <c r="D5" s="2">
        <f>COUNTIFS('License authorities'!$B:$B,$A5,'License authorities'!$E:$E,D$1)</f>
        <v>0</v>
      </c>
      <c r="E5" s="2">
        <f>COUNTIFS('License authorities'!$B:$B,$A5,'License authorities'!$E:$E,E$1)</f>
        <v>0</v>
      </c>
      <c r="F5" s="2">
        <f t="shared" si="0"/>
        <v>4</v>
      </c>
    </row>
    <row r="6" spans="1:6">
      <c r="A6" s="2" t="s">
        <v>101</v>
      </c>
      <c r="B6" s="2">
        <f>COUNTIFS('License authorities'!$B:$B,$A6,'License authorities'!$E:$E,B$1)</f>
        <v>1</v>
      </c>
      <c r="C6" s="2">
        <f>COUNTIFS('License authorities'!$B:$B,$A6,'License authorities'!$E:$E,C$1)</f>
        <v>1</v>
      </c>
      <c r="D6" s="2">
        <f>COUNTIFS('License authorities'!$B:$B,$A6,'License authorities'!$E:$E,D$1)</f>
        <v>0</v>
      </c>
      <c r="E6" s="2">
        <f>COUNTIFS('License authorities'!$B:$B,$A6,'License authorities'!$E:$E,E$1)</f>
        <v>0</v>
      </c>
      <c r="F6" s="2">
        <f t="shared" si="0"/>
        <v>2</v>
      </c>
    </row>
    <row r="7" spans="1:6">
      <c r="A7" s="2" t="s">
        <v>107</v>
      </c>
      <c r="B7" s="2">
        <f>COUNTIFS('License authorities'!$B:$B,$A7,'License authorities'!$E:$E,B$1)</f>
        <v>1</v>
      </c>
      <c r="C7" s="2">
        <f>COUNTIFS('License authorities'!$B:$B,$A7,'License authorities'!$E:$E,C$1)</f>
        <v>3</v>
      </c>
      <c r="D7" s="2">
        <f>COUNTIFS('License authorities'!$B:$B,$A7,'License authorities'!$E:$E,D$1)</f>
        <v>0</v>
      </c>
      <c r="E7" s="2">
        <f>COUNTIFS('License authorities'!$B:$B,$A7,'License authorities'!$E:$E,E$1)</f>
        <v>1</v>
      </c>
      <c r="F7" s="2">
        <f t="shared" si="0"/>
        <v>5</v>
      </c>
    </row>
    <row r="8" spans="1:6">
      <c r="A8" s="2" t="s">
        <v>120</v>
      </c>
      <c r="B8" s="2">
        <f>COUNTIFS('License authorities'!$B:$B,$A8,'License authorities'!$E:$E,B$1)</f>
        <v>1</v>
      </c>
      <c r="C8" s="2">
        <f>COUNTIFS('License authorities'!$B:$B,$A8,'License authorities'!$E:$E,C$1)</f>
        <v>2</v>
      </c>
      <c r="D8" s="2">
        <f>COUNTIFS('License authorities'!$B:$B,$A8,'License authorities'!$E:$E,D$1)</f>
        <v>0</v>
      </c>
      <c r="E8" s="2">
        <f>COUNTIFS('License authorities'!$B:$B,$A8,'License authorities'!$E:$E,E$1)</f>
        <v>0</v>
      </c>
      <c r="F8" s="2">
        <f t="shared" si="0"/>
        <v>3</v>
      </c>
    </row>
    <row r="9" spans="1:6">
      <c r="A9" s="4" t="s">
        <v>132</v>
      </c>
      <c r="B9" s="4">
        <f>SUM(B2:B8)</f>
        <v>7</v>
      </c>
      <c r="C9" s="4">
        <f>SUM(C2:C8)</f>
        <v>33</v>
      </c>
      <c r="D9" s="4">
        <f>SUM(D2:D8)</f>
        <v>2</v>
      </c>
      <c r="E9" s="4">
        <f>SUM(E2:E8)</f>
        <v>2</v>
      </c>
      <c r="F9" s="4">
        <f>SUM(F2:F8)</f>
        <v>44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" sqref="A1"/>
    </sheetView>
  </sheetViews>
  <sheetFormatPr defaultColWidth="8.67619047619048" defaultRowHeight="15"/>
  <cols>
    <col min="1" max="1" width="120" customWidth="1"/>
  </cols>
  <sheetData>
    <row r="1" ht="15.75" spans="1:1">
      <c r="A1" s="1" t="s">
        <v>133</v>
      </c>
    </row>
    <row r="2" spans="1:1">
      <c r="A2" s="2" t="s">
        <v>134</v>
      </c>
    </row>
    <row r="3" spans="1:1">
      <c r="A3" s="2" t="s">
        <v>135</v>
      </c>
    </row>
    <row r="4" spans="1:1">
      <c r="A4" s="2" t="s">
        <v>136</v>
      </c>
    </row>
    <row r="5" spans="1:1">
      <c r="A5" s="2"/>
    </row>
    <row r="6" ht="15.75" spans="1:1">
      <c r="A6" s="1" t="s">
        <v>137</v>
      </c>
    </row>
    <row r="7" spans="1:1">
      <c r="A7" s="2" t="s">
        <v>138</v>
      </c>
    </row>
    <row r="8" spans="1:1">
      <c r="A8" s="2" t="s">
        <v>139</v>
      </c>
    </row>
    <row r="9" spans="1:1">
      <c r="A9" s="2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License authorities</vt:lpstr>
      <vt:lpstr>Summary</vt:lpstr>
      <vt:lpstr>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WPS_1787560668</cp:lastModifiedBy>
  <cp:revision>0</cp:revision>
  <dcterms:created xsi:type="dcterms:W3CDTF">2026-10-02T07:56:00Z</dcterms:created>
  <dcterms:modified xsi:type="dcterms:W3CDTF">2026-10-02T09:56:21Z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69D1DBD30A5B4636993AD69561DA80B5_13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